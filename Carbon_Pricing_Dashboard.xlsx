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wg09\Downloads\"/>
    </mc:Choice>
  </mc:AlternateContent>
  <xr:revisionPtr revIDLastSave="0" documentId="13_ncr:1_{EE56397D-C185-4042-B308-0A4576F6E0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Data_Pricing" sheetId="2" r:id="rId2"/>
    <sheet name="Data_Emissions" sheetId="3" r:id="rId3"/>
    <sheet name="Analysi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C5" i="1"/>
  <c r="A5" i="1"/>
</calcChain>
</file>

<file path=xl/sharedStrings.xml><?xml version="1.0" encoding="utf-8"?>
<sst xmlns="http://schemas.openxmlformats.org/spreadsheetml/2006/main" count="2550" uniqueCount="96">
  <si>
    <t>Global Carbon Pricing &amp; Emissions Tracker</t>
  </si>
  <si>
    <t>Key Metrics</t>
  </si>
  <si>
    <t>Countries with Carbon Pricing</t>
  </si>
  <si>
    <t>Average Carbon Price ($/tCO2)</t>
  </si>
  <si>
    <t>Global Emissions Coverage (%)</t>
  </si>
  <si>
    <t>Total Revenue ($B, est.)</t>
  </si>
  <si>
    <t>28%</t>
  </si>
  <si>
    <t>$104B</t>
  </si>
  <si>
    <t>CHART 1: Carbon Price Trends Over Time</t>
  </si>
  <si>
    <t>Data Summary:</t>
  </si>
  <si>
    <t>Pricing: 512 observations from 73 jurisdictions</t>
  </si>
  <si>
    <t>Emissions: 630 observations from 70 jurisdictions</t>
  </si>
  <si>
    <t>Coverage: Global - national and subnational (2015-2024)</t>
  </si>
  <si>
    <t>Jurisdiction</t>
  </si>
  <si>
    <t>Year</t>
  </si>
  <si>
    <t>Carbon_Price_USD</t>
  </si>
  <si>
    <t>Policy_Type</t>
  </si>
  <si>
    <t>Albania</t>
  </si>
  <si>
    <t>Carbon tax</t>
  </si>
  <si>
    <t>Alberta</t>
  </si>
  <si>
    <t>ETS</t>
  </si>
  <si>
    <t>Argentina</t>
  </si>
  <si>
    <t>Australia</t>
  </si>
  <si>
    <t>Austria</t>
  </si>
  <si>
    <t>Baja California</t>
  </si>
  <si>
    <t>Beijing</t>
  </si>
  <si>
    <t>British Columbia</t>
  </si>
  <si>
    <t>California</t>
  </si>
  <si>
    <t>Canada</t>
  </si>
  <si>
    <t>Chile</t>
  </si>
  <si>
    <t>China</t>
  </si>
  <si>
    <t>Chongqing</t>
  </si>
  <si>
    <t>Colombia</t>
  </si>
  <si>
    <t>Denmark</t>
  </si>
  <si>
    <t>Durango</t>
  </si>
  <si>
    <t>EU</t>
  </si>
  <si>
    <t>Estonia</t>
  </si>
  <si>
    <t>Finland</t>
  </si>
  <si>
    <t>France</t>
  </si>
  <si>
    <t>Fujian</t>
  </si>
  <si>
    <t>Germany</t>
  </si>
  <si>
    <t>Guanajuato</t>
  </si>
  <si>
    <t>Guangdong (except Shenzhen)</t>
  </si>
  <si>
    <t>Hubei</t>
  </si>
  <si>
    <t>Hungary</t>
  </si>
  <si>
    <t>Iceland</t>
  </si>
  <si>
    <t>Indonesia</t>
  </si>
  <si>
    <t>Ireland</t>
  </si>
  <si>
    <t>Japan</t>
  </si>
  <si>
    <t>Kazakhstan</t>
  </si>
  <si>
    <t>Korea, Rep.</t>
  </si>
  <si>
    <t>Latvia</t>
  </si>
  <si>
    <t>Liechtenstein</t>
  </si>
  <si>
    <t>Luxembourg</t>
  </si>
  <si>
    <t>Massachusetts</t>
  </si>
  <si>
    <t>Mexico</t>
  </si>
  <si>
    <t>Montenegro</t>
  </si>
  <si>
    <t>Netherlands</t>
  </si>
  <si>
    <t>New Brunswick</t>
  </si>
  <si>
    <t>New Zealand</t>
  </si>
  <si>
    <t>Newfoundland and Labrador</t>
  </si>
  <si>
    <t>Northwest Territories</t>
  </si>
  <si>
    <t>Norway</t>
  </si>
  <si>
    <t>Nova Scotia</t>
  </si>
  <si>
    <t>Ontario</t>
  </si>
  <si>
    <t>Poland</t>
  </si>
  <si>
    <t>Portugal</t>
  </si>
  <si>
    <t>Prince Edward Island</t>
  </si>
  <si>
    <t>Quebec</t>
  </si>
  <si>
    <t>Queretaro</t>
  </si>
  <si>
    <t>RGGI</t>
  </si>
  <si>
    <t>Saitama</t>
  </si>
  <si>
    <t>Saskatchewan</t>
  </si>
  <si>
    <t>Shanghai</t>
  </si>
  <si>
    <t>Shenzhen</t>
  </si>
  <si>
    <t>Singapore</t>
  </si>
  <si>
    <t>Slovenia</t>
  </si>
  <si>
    <t>South Africa</t>
  </si>
  <si>
    <t>Spain</t>
  </si>
  <si>
    <t>State of Mexico</t>
  </si>
  <si>
    <t>Sweden</t>
  </si>
  <si>
    <t>Switzerland</t>
  </si>
  <si>
    <t>Taiwan, China</t>
  </si>
  <si>
    <t>Tamaulipas</t>
  </si>
  <si>
    <t>Tianjin</t>
  </si>
  <si>
    <t>Tokyo</t>
  </si>
  <si>
    <t>Ukraine</t>
  </si>
  <si>
    <t>United Kingdom</t>
  </si>
  <si>
    <t>Uruguay</t>
  </si>
  <si>
    <t>Washington</t>
  </si>
  <si>
    <t>Yucatan</t>
  </si>
  <si>
    <t>Zacatecas</t>
  </si>
  <si>
    <t>Emissions_MtCO2</t>
  </si>
  <si>
    <t>Source: World Bank State and Trends of Carbon Pricing 2025</t>
  </si>
  <si>
    <t>Avg Price Growth 2020-24 (%)</t>
  </si>
  <si>
    <t>CHART 2: Carbon Tax Compared to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</si>
</sst>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i/>
      <sz val="11"/>
      <color rgb="FF808080"/>
      <name val="Calibri"/>
    </font>
    <font>
      <b/>
      <sz val="18"/>
      <color rgb="FFFFFFFF"/>
      <name val="Calibri"/>
    </font>
    <font>
      <sz val="9"/>
      <color rgb="FF404040"/>
      <name val="Calibri"/>
    </font>
    <font>
      <b/>
      <sz val="16"/>
      <color rgb="FF0070C0"/>
      <name val="Calibri"/>
    </font>
    <font>
      <b/>
      <sz val="11"/>
      <color rgb="FFC00000"/>
      <name val="Calibri"/>
    </font>
    <font>
      <i/>
      <sz val="10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0404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55A11"/>
        <bgColor rgb="FFC55A11"/>
      </patternFill>
    </fill>
    <fill>
      <patternFill patternType="solid">
        <fgColor rgb="FF2F5496"/>
        <bgColor rgb="FF2F549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/>
    <xf numFmtId="0" fontId="6" fillId="0" borderId="1" xfId="0" applyFont="1" applyBorder="1" applyAlignment="1">
      <alignment horizontal="center"/>
    </xf>
    <xf numFmtId="0" fontId="0" fillId="0" borderId="3" xfId="0" applyBorder="1"/>
    <xf numFmtId="0" fontId="4" fillId="5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0" xfId="0" applyFont="1"/>
    <xf numFmtId="0" fontId="10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55A11"/>
          <bgColor rgb="FFC55A1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70AD47"/>
          <bgColor rgb="FF70AD4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British Columbia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23.78</c:v>
              </c:pt>
              <c:pt idx="1">
                <c:v>23.06</c:v>
              </c:pt>
              <c:pt idx="2">
                <c:v>22.54</c:v>
              </c:pt>
              <c:pt idx="3">
                <c:v>27.13</c:v>
              </c:pt>
              <c:pt idx="4">
                <c:v>29.99</c:v>
              </c:pt>
              <c:pt idx="5">
                <c:v>28.14</c:v>
              </c:pt>
              <c:pt idx="6">
                <c:v>27.855</c:v>
              </c:pt>
              <c:pt idx="7">
                <c:v>29.97</c:v>
              </c:pt>
              <c:pt idx="8">
                <c:v>33.25</c:v>
              </c:pt>
              <c:pt idx="9">
                <c:v>58.94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E32-4D83-AB85-5636FE7C8163}"/>
            </c:ext>
          </c:extLst>
        </c:ser>
        <c:ser>
          <c:idx val="1"/>
          <c:order val="1"/>
          <c:tx>
            <c:v>California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12.49</c:v>
              </c:pt>
              <c:pt idx="1">
                <c:v>12.8</c:v>
              </c:pt>
              <c:pt idx="2">
                <c:v>15.08</c:v>
              </c:pt>
              <c:pt idx="3">
                <c:v>15.1</c:v>
              </c:pt>
              <c:pt idx="4">
                <c:v>15.77</c:v>
              </c:pt>
              <c:pt idx="5">
                <c:v>15.3</c:v>
              </c:pt>
              <c:pt idx="6">
                <c:v>17.940000000000001</c:v>
              </c:pt>
              <c:pt idx="7">
                <c:v>30.82</c:v>
              </c:pt>
              <c:pt idx="8">
                <c:v>29.84</c:v>
              </c:pt>
              <c:pt idx="9">
                <c:v>38.590000000000003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3E32-4D83-AB85-5636FE7C8163}"/>
            </c:ext>
          </c:extLst>
        </c:ser>
        <c:ser>
          <c:idx val="2"/>
          <c:order val="2"/>
          <c:tx>
            <c:v>EU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7.68</c:v>
              </c:pt>
              <c:pt idx="1">
                <c:v>4.87</c:v>
              </c:pt>
              <c:pt idx="2">
                <c:v>5.64</c:v>
              </c:pt>
              <c:pt idx="3">
                <c:v>16.37</c:v>
              </c:pt>
              <c:pt idx="4">
                <c:v>24.51</c:v>
              </c:pt>
              <c:pt idx="5">
                <c:v>18.54</c:v>
              </c:pt>
              <c:pt idx="6">
                <c:v>49.78</c:v>
              </c:pt>
              <c:pt idx="7">
                <c:v>86.53</c:v>
              </c:pt>
              <c:pt idx="8">
                <c:v>96.3</c:v>
              </c:pt>
              <c:pt idx="9">
                <c:v>61.3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92-3E32-4D83-AB85-5636FE7C8163}"/>
            </c:ext>
          </c:extLst>
        </c:ser>
        <c:ser>
          <c:idx val="3"/>
          <c:order val="3"/>
          <c:tx>
            <c:v>Germany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29.37</c:v>
              </c:pt>
              <c:pt idx="7">
                <c:v>33.159999999999997</c:v>
              </c:pt>
              <c:pt idx="8">
                <c:v>32.619999999999997</c:v>
              </c:pt>
              <c:pt idx="9">
                <c:v>48.37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93-3E32-4D83-AB85-5636FE7C8163}"/>
            </c:ext>
          </c:extLst>
        </c:ser>
        <c:ser>
          <c:idx val="4"/>
          <c:order val="4"/>
          <c:tx>
            <c:v>Korea, Rep.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9.1</c:v>
              </c:pt>
              <c:pt idx="1">
                <c:v>15.14</c:v>
              </c:pt>
              <c:pt idx="2">
                <c:v>18.23</c:v>
              </c:pt>
              <c:pt idx="3">
                <c:v>20.52</c:v>
              </c:pt>
              <c:pt idx="4">
                <c:v>23.46</c:v>
              </c:pt>
              <c:pt idx="5">
                <c:v>32.79</c:v>
              </c:pt>
              <c:pt idx="6">
                <c:v>15.89</c:v>
              </c:pt>
              <c:pt idx="7">
                <c:v>18.75</c:v>
              </c:pt>
              <c:pt idx="8">
                <c:v>11.24</c:v>
              </c:pt>
              <c:pt idx="9">
                <c:v>6.3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94-3E32-4D83-AB85-5636FE7C8163}"/>
            </c:ext>
          </c:extLst>
        </c:ser>
        <c:ser>
          <c:idx val="5"/>
          <c:order val="5"/>
          <c:tx>
            <c:v>Norway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63.24</c:v>
              </c:pt>
              <c:pt idx="1">
                <c:v>62.08</c:v>
              </c:pt>
              <c:pt idx="2">
                <c:v>63.94</c:v>
              </c:pt>
              <c:pt idx="3">
                <c:v>74.45</c:v>
              </c:pt>
              <c:pt idx="4">
                <c:v>67.150000000000006</c:v>
              </c:pt>
              <c:pt idx="5">
                <c:v>58.94</c:v>
              </c:pt>
              <c:pt idx="6">
                <c:v>60.76</c:v>
              </c:pt>
              <c:pt idx="7">
                <c:v>54.27</c:v>
              </c:pt>
              <c:pt idx="8">
                <c:v>50.14</c:v>
              </c:pt>
              <c:pt idx="9">
                <c:v>66.930000000000007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95-3E32-4D83-AB85-5636FE7C8163}"/>
            </c:ext>
          </c:extLst>
        </c:ser>
        <c:ser>
          <c:idx val="6"/>
          <c:order val="6"/>
          <c:tx>
            <c:v>Switzerland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37.17</c:v>
              </c:pt>
              <c:pt idx="1">
                <c:v>47.705000000000005</c:v>
              </c:pt>
              <c:pt idx="2">
                <c:v>45.435000000000002</c:v>
              </c:pt>
              <c:pt idx="3">
                <c:v>55.1</c:v>
              </c:pt>
              <c:pt idx="4">
                <c:v>52.244999999999997</c:v>
              </c:pt>
              <c:pt idx="5">
                <c:v>59.644999999999996</c:v>
              </c:pt>
              <c:pt idx="6">
                <c:v>73.784999999999997</c:v>
              </c:pt>
              <c:pt idx="7">
                <c:v>97.725000000000009</c:v>
              </c:pt>
              <c:pt idx="8">
                <c:v>112.31</c:v>
              </c:pt>
              <c:pt idx="9">
                <c:v>95.64500000000001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96-3E32-4D83-AB85-5636FE7C8163}"/>
            </c:ext>
          </c:extLst>
        </c:ser>
        <c:ser>
          <c:idx val="7"/>
          <c:order val="7"/>
          <c:tx>
            <c:v>United Kingdom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26.71</c:v>
              </c:pt>
              <c:pt idx="1">
                <c:v>23.72</c:v>
              </c:pt>
              <c:pt idx="2">
                <c:v>22.41</c:v>
              </c:pt>
              <c:pt idx="3">
                <c:v>25.46</c:v>
              </c:pt>
              <c:pt idx="4">
                <c:v>23.59</c:v>
              </c:pt>
              <c:pt idx="5">
                <c:v>22.28</c:v>
              </c:pt>
              <c:pt idx="6">
                <c:v>24.8</c:v>
              </c:pt>
              <c:pt idx="7">
                <c:v>61.319999999999993</c:v>
              </c:pt>
              <c:pt idx="8">
                <c:v>55.204999999999998</c:v>
              </c:pt>
              <c:pt idx="9">
                <c:v>33.840000000000003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97-3E32-4D83-AB85-5636FE7C8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578943"/>
        <c:axId val="1138588063"/>
      </c:lineChart>
      <c:catAx>
        <c:axId val="113857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88063"/>
        <c:crosses val="autoZero"/>
        <c:auto val="1"/>
        <c:lblAlgn val="ctr"/>
        <c:lblOffset val="100"/>
        <c:noMultiLvlLbl val="0"/>
      </c:catAx>
      <c:valAx>
        <c:axId val="11385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Analysis!$C$2:$C$433</c:f>
              <c:numCache>
                <c:formatCode>General</c:formatCode>
                <c:ptCount val="35"/>
                <c:pt idx="0">
                  <c:v>4.97</c:v>
                </c:pt>
                <c:pt idx="1">
                  <c:v>48.03</c:v>
                </c:pt>
                <c:pt idx="2">
                  <c:v>48.03</c:v>
                </c:pt>
                <c:pt idx="3">
                  <c:v>5</c:v>
                </c:pt>
                <c:pt idx="4">
                  <c:v>5.0599999999999996</c:v>
                </c:pt>
                <c:pt idx="5">
                  <c:v>26.53</c:v>
                </c:pt>
                <c:pt idx="6">
                  <c:v>2.17</c:v>
                </c:pt>
                <c:pt idx="7">
                  <c:v>70.69</c:v>
                </c:pt>
                <c:pt idx="8">
                  <c:v>48.5</c:v>
                </c:pt>
                <c:pt idx="9">
                  <c:v>24.15</c:v>
                </c:pt>
                <c:pt idx="10">
                  <c:v>52.74</c:v>
                </c:pt>
                <c:pt idx="11">
                  <c:v>2.17</c:v>
                </c:pt>
                <c:pt idx="12">
                  <c:v>16.309999999999999</c:v>
                </c:pt>
                <c:pt idx="13">
                  <c:v>46.56</c:v>
                </c:pt>
                <c:pt idx="14">
                  <c:v>2.95</c:v>
                </c:pt>
                <c:pt idx="15">
                  <c:v>39.33</c:v>
                </c:pt>
                <c:pt idx="16">
                  <c:v>48.03</c:v>
                </c:pt>
                <c:pt idx="17">
                  <c:v>48.03</c:v>
                </c:pt>
                <c:pt idx="18">
                  <c:v>48.03</c:v>
                </c:pt>
                <c:pt idx="19">
                  <c:v>50.14</c:v>
                </c:pt>
                <c:pt idx="20">
                  <c:v>3.17</c:v>
                </c:pt>
                <c:pt idx="21">
                  <c:v>25.92</c:v>
                </c:pt>
                <c:pt idx="22">
                  <c:v>36.950000000000003</c:v>
                </c:pt>
                <c:pt idx="23">
                  <c:v>32.200000000000003</c:v>
                </c:pt>
                <c:pt idx="24">
                  <c:v>3.77</c:v>
                </c:pt>
                <c:pt idx="25">
                  <c:v>8.93</c:v>
                </c:pt>
                <c:pt idx="26">
                  <c:v>16.309999999999999</c:v>
                </c:pt>
                <c:pt idx="27">
                  <c:v>2.38</c:v>
                </c:pt>
                <c:pt idx="28">
                  <c:v>130.81</c:v>
                </c:pt>
                <c:pt idx="29">
                  <c:v>17.25</c:v>
                </c:pt>
                <c:pt idx="30">
                  <c:v>0.82</c:v>
                </c:pt>
                <c:pt idx="31">
                  <c:v>22.28</c:v>
                </c:pt>
                <c:pt idx="32">
                  <c:v>155.87</c:v>
                </c:pt>
                <c:pt idx="33">
                  <c:v>15.53</c:v>
                </c:pt>
                <c:pt idx="34">
                  <c:v>13.86</c:v>
                </c:pt>
              </c:numCache>
            </c:numRef>
          </c:xVal>
          <c:yVal>
            <c:numRef>
              <c:f>Analysis!$E$1:$E$433</c:f>
              <c:numCache>
                <c:formatCode>General</c:formatCode>
                <c:ptCount val="36"/>
                <c:pt idx="0">
                  <c:v>0</c:v>
                </c:pt>
                <c:pt idx="1">
                  <c:v>435.28</c:v>
                </c:pt>
                <c:pt idx="2">
                  <c:v>875.95</c:v>
                </c:pt>
                <c:pt idx="3">
                  <c:v>875.95</c:v>
                </c:pt>
                <c:pt idx="4">
                  <c:v>102.71</c:v>
                </c:pt>
                <c:pt idx="5">
                  <c:v>294.08</c:v>
                </c:pt>
                <c:pt idx="6">
                  <c:v>38.04</c:v>
                </c:pt>
                <c:pt idx="7">
                  <c:v>18.86</c:v>
                </c:pt>
                <c:pt idx="8">
                  <c:v>54.56</c:v>
                </c:pt>
                <c:pt idx="9">
                  <c:v>347.38</c:v>
                </c:pt>
                <c:pt idx="10">
                  <c:v>3.35</c:v>
                </c:pt>
                <c:pt idx="11">
                  <c:v>68.47</c:v>
                </c:pt>
                <c:pt idx="12">
                  <c:v>1034.23</c:v>
                </c:pt>
                <c:pt idx="13">
                  <c:v>17.239999999999998</c:v>
                </c:pt>
                <c:pt idx="14">
                  <c:v>7.78</c:v>
                </c:pt>
                <c:pt idx="15">
                  <c:v>731.02</c:v>
                </c:pt>
                <c:pt idx="16">
                  <c:v>145.66</c:v>
                </c:pt>
                <c:pt idx="17">
                  <c:v>875.95</c:v>
                </c:pt>
                <c:pt idx="18">
                  <c:v>875.95</c:v>
                </c:pt>
                <c:pt idx="19">
                  <c:v>875.95</c:v>
                </c:pt>
                <c:pt idx="20">
                  <c:v>49.47</c:v>
                </c:pt>
                <c:pt idx="21">
                  <c:v>354.9</c:v>
                </c:pt>
                <c:pt idx="22">
                  <c:v>51.44</c:v>
                </c:pt>
                <c:pt idx="23">
                  <c:v>875.95</c:v>
                </c:pt>
                <c:pt idx="24">
                  <c:v>731.02</c:v>
                </c:pt>
                <c:pt idx="25">
                  <c:v>64.05</c:v>
                </c:pt>
                <c:pt idx="26">
                  <c:v>382.98</c:v>
                </c:pt>
                <c:pt idx="27">
                  <c:v>271.61</c:v>
                </c:pt>
                <c:pt idx="28">
                  <c:v>731.02</c:v>
                </c:pt>
                <c:pt idx="29">
                  <c:v>43.15</c:v>
                </c:pt>
                <c:pt idx="30">
                  <c:v>731.02</c:v>
                </c:pt>
                <c:pt idx="31">
                  <c:v>179.25</c:v>
                </c:pt>
                <c:pt idx="32">
                  <c:v>407.91</c:v>
                </c:pt>
                <c:pt idx="33">
                  <c:v>35.49</c:v>
                </c:pt>
                <c:pt idx="34">
                  <c:v>731.02</c:v>
                </c:pt>
                <c:pt idx="35">
                  <c:v>731.02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5-4128-9641-9C7FD1D3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578463"/>
        <c:axId val="11385909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Analysis!$C$2:$C$433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4.97</c:v>
                      </c:pt>
                      <c:pt idx="1">
                        <c:v>48.03</c:v>
                      </c:pt>
                      <c:pt idx="2">
                        <c:v>48.03</c:v>
                      </c:pt>
                      <c:pt idx="3">
                        <c:v>5</c:v>
                      </c:pt>
                      <c:pt idx="4">
                        <c:v>5.0599999999999996</c:v>
                      </c:pt>
                      <c:pt idx="5">
                        <c:v>26.53</c:v>
                      </c:pt>
                      <c:pt idx="6">
                        <c:v>2.17</c:v>
                      </c:pt>
                      <c:pt idx="7">
                        <c:v>70.69</c:v>
                      </c:pt>
                      <c:pt idx="8">
                        <c:v>48.5</c:v>
                      </c:pt>
                      <c:pt idx="9">
                        <c:v>24.15</c:v>
                      </c:pt>
                      <c:pt idx="10">
                        <c:v>52.74</c:v>
                      </c:pt>
                      <c:pt idx="11">
                        <c:v>2.17</c:v>
                      </c:pt>
                      <c:pt idx="12">
                        <c:v>16.309999999999999</c:v>
                      </c:pt>
                      <c:pt idx="13">
                        <c:v>46.56</c:v>
                      </c:pt>
                      <c:pt idx="14">
                        <c:v>2.95</c:v>
                      </c:pt>
                      <c:pt idx="15">
                        <c:v>39.33</c:v>
                      </c:pt>
                      <c:pt idx="16">
                        <c:v>48.03</c:v>
                      </c:pt>
                      <c:pt idx="17">
                        <c:v>48.03</c:v>
                      </c:pt>
                      <c:pt idx="18">
                        <c:v>48.03</c:v>
                      </c:pt>
                      <c:pt idx="19">
                        <c:v>50.14</c:v>
                      </c:pt>
                      <c:pt idx="20">
                        <c:v>3.17</c:v>
                      </c:pt>
                      <c:pt idx="21">
                        <c:v>25.92</c:v>
                      </c:pt>
                      <c:pt idx="22">
                        <c:v>36.950000000000003</c:v>
                      </c:pt>
                      <c:pt idx="23">
                        <c:v>32.200000000000003</c:v>
                      </c:pt>
                      <c:pt idx="24">
                        <c:v>3.77</c:v>
                      </c:pt>
                      <c:pt idx="25">
                        <c:v>8.93</c:v>
                      </c:pt>
                      <c:pt idx="26">
                        <c:v>16.309999999999999</c:v>
                      </c:pt>
                      <c:pt idx="27">
                        <c:v>2.38</c:v>
                      </c:pt>
                      <c:pt idx="28">
                        <c:v>130.81</c:v>
                      </c:pt>
                      <c:pt idx="29">
                        <c:v>17.25</c:v>
                      </c:pt>
                      <c:pt idx="30">
                        <c:v>0.82</c:v>
                      </c:pt>
                      <c:pt idx="31">
                        <c:v>22.28</c:v>
                      </c:pt>
                      <c:pt idx="32">
                        <c:v>155.87</c:v>
                      </c:pt>
                      <c:pt idx="33">
                        <c:v>15.53</c:v>
                      </c:pt>
                      <c:pt idx="34">
                        <c:v>13.86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Analysis!$E$1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DF5-4128-9641-9C7FD1D3BFFA}"/>
                  </c:ext>
                </c:extLst>
              </c15:ser>
            </c15:filteredScatterSeries>
          </c:ext>
        </c:extLst>
      </c:scatterChart>
      <c:valAx>
        <c:axId val="113857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Tax in USD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90943"/>
        <c:crosses val="autoZero"/>
        <c:crossBetween val="midCat"/>
      </c:valAx>
      <c:valAx>
        <c:axId val="113859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</a:t>
                </a:r>
                <a:r>
                  <a:rPr lang="en-US" baseline="0"/>
                  <a:t> Emissions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4.391616507825534E-2"/>
              <c:y val="0.31830504967447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7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554537</xdr:colOff>
      <xdr:row>8</xdr:row>
      <xdr:rowOff>156376</xdr:rowOff>
    </xdr:from>
    <xdr:to>
      <xdr:col>4</xdr:col>
      <xdr:colOff>411306</xdr:colOff>
      <xdr:row>17</xdr:row>
      <xdr:rowOff>173181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4A83D9-D22A-70E1-AB80-734BEAE33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837045</xdr:colOff>
      <xdr:row>8</xdr:row>
      <xdr:rowOff>93804</xdr:rowOff>
    </xdr:from>
    <xdr:to>
      <xdr:col>8</xdr:col>
      <xdr:colOff>295851</xdr:colOff>
      <xdr:row>20</xdr:row>
      <xdr:rowOff>14432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9E756F-CD31-40A2-AE52-843204CE2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2CA4A-DDAA-428B-8996-5075700778BD}" name="Table1" displayName="Table1" ref="A1:D513" totalsRowShown="0" headerRowDxfId="2">
  <autoFilter ref="A1:D513" xr:uid="{0532CA4A-DDAA-428B-8996-5075700778BD}"/>
  <tableColumns count="4">
    <tableColumn id="1" xr3:uid="{8CE1D918-F350-4208-90B2-80358386216D}" name="Jurisdiction"/>
    <tableColumn id="2" xr3:uid="{B210AD25-089D-480F-8409-C481117365F3}" name="Year"/>
    <tableColumn id="3" xr3:uid="{8612146D-C5CB-417E-B30E-A79C9B07229A}" name="Carbon_Price_USD"/>
    <tableColumn id="4" xr3:uid="{89501E95-9783-472E-806D-376EDE4E2372}" name="Policy_Typ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B60FF1-A9FE-44E9-8139-DE47D4441E5D}" name="Table2" displayName="Table2" ref="A1:C631" totalsRowShown="0" headerRowDxfId="1">
  <autoFilter ref="A1:C631" xr:uid="{34B60FF1-A9FE-44E9-8139-DE47D4441E5D}"/>
  <tableColumns count="3">
    <tableColumn id="1" xr3:uid="{440B34B9-CFE0-4FA1-B340-1CA688827528}" name="Jurisdiction"/>
    <tableColumn id="2" xr3:uid="{66460505-90F6-454A-82C5-38A78E3C5634}" name="Year"/>
    <tableColumn id="3" xr3:uid="{3E36CAD3-F1F4-488F-AF9F-6FFF615E3B00}" name="Emissions_MtCO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47A48C-A31B-4C9C-9897-C70A7F3D09CD}" name="Table3" displayName="Table3" ref="A1:E433" totalsRowShown="0" headerRowDxfId="0">
  <autoFilter ref="A1:E433" xr:uid="{E347A48C-A31B-4C9C-9897-C70A7F3D09CD}">
    <filterColumn colId="1">
      <filters>
        <filter val="2023"/>
      </filters>
    </filterColumn>
    <filterColumn colId="3">
      <filters>
        <filter val="Carbon tax"/>
      </filters>
    </filterColumn>
  </autoFilter>
  <tableColumns count="5">
    <tableColumn id="1" xr3:uid="{C237F501-92B1-4E17-87D7-3617DB7734F5}" name="Jurisdiction"/>
    <tableColumn id="2" xr3:uid="{06F22D7C-57D4-4069-A8CA-52496C85F2B5}" name="Year"/>
    <tableColumn id="3" xr3:uid="{12786F91-6882-4BEC-9628-8F3A5C69682C}" name="Carbon_Price_USD"/>
    <tableColumn id="4" xr3:uid="{631F9FC1-792C-4892-B4B0-5C867933F23A}" name="Policy_Type"/>
    <tableColumn id="5" xr3:uid="{51643984-95A3-46E7-B9B4-B1C440EE0C2A}" name="Emissions_MtCO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88" workbookViewId="0">
      <selection activeCell="O12" sqref="O12"/>
    </sheetView>
  </sheetViews>
  <sheetFormatPr defaultRowHeight="14.5" x14ac:dyDescent="0.35"/>
  <cols>
    <col min="1" max="4" width="15" customWidth="1"/>
    <col min="5" max="6" width="13" customWidth="1"/>
    <col min="7" max="7" width="14.54296875" bestFit="1" customWidth="1"/>
    <col min="8" max="8" width="26.1796875" bestFit="1" customWidth="1"/>
    <col min="9" max="9" width="10.6328125" customWidth="1"/>
    <col min="10" max="10" width="12.81640625" customWidth="1"/>
    <col min="11" max="12" width="4.90625" bestFit="1" customWidth="1"/>
    <col min="13" max="13" width="3.90625" bestFit="1" customWidth="1"/>
    <col min="14" max="14" width="12.7265625" bestFit="1" customWidth="1"/>
    <col min="15" max="15" width="15.26953125" bestFit="1" customWidth="1"/>
    <col min="16" max="21" width="5.08984375" bestFit="1" customWidth="1"/>
    <col min="22" max="22" width="4" bestFit="1" customWidth="1"/>
    <col min="23" max="34" width="5.08984375" bestFit="1" customWidth="1"/>
    <col min="35" max="35" width="4" bestFit="1" customWidth="1"/>
    <col min="36" max="67" width="5.08984375" bestFit="1" customWidth="1"/>
    <col min="68" max="68" width="4" bestFit="1" customWidth="1"/>
    <col min="69" max="84" width="5.08984375" bestFit="1" customWidth="1"/>
    <col min="85" max="85" width="4" bestFit="1" customWidth="1"/>
    <col min="86" max="92" width="5.08984375" bestFit="1" customWidth="1"/>
    <col min="93" max="93" width="4" bestFit="1" customWidth="1"/>
    <col min="94" max="96" width="5.08984375" bestFit="1" customWidth="1"/>
    <col min="97" max="97" width="4" bestFit="1" customWidth="1"/>
    <col min="98" max="101" width="5.08984375" bestFit="1" customWidth="1"/>
    <col min="102" max="102" width="4" bestFit="1" customWidth="1"/>
    <col min="103" max="103" width="5.08984375" bestFit="1" customWidth="1"/>
    <col min="104" max="104" width="4" bestFit="1" customWidth="1"/>
    <col min="105" max="106" width="5.08984375" bestFit="1" customWidth="1"/>
    <col min="107" max="107" width="4" bestFit="1" customWidth="1"/>
    <col min="108" max="110" width="5.08984375" bestFit="1" customWidth="1"/>
    <col min="111" max="111" width="4" bestFit="1" customWidth="1"/>
    <col min="112" max="112" width="5.08984375" bestFit="1" customWidth="1"/>
    <col min="113" max="113" width="4" bestFit="1" customWidth="1"/>
    <col min="114" max="122" width="5.08984375" bestFit="1" customWidth="1"/>
    <col min="123" max="123" width="1.90625" bestFit="1" customWidth="1"/>
    <col min="124" max="144" width="5.08984375" bestFit="1" customWidth="1"/>
    <col min="145" max="145" width="4" bestFit="1" customWidth="1"/>
    <col min="146" max="150" width="5.08984375" bestFit="1" customWidth="1"/>
    <col min="151" max="151" width="4" bestFit="1" customWidth="1"/>
    <col min="152" max="152" width="5.08984375" bestFit="1" customWidth="1"/>
    <col min="153" max="153" width="4" bestFit="1" customWidth="1"/>
    <col min="154" max="163" width="5.08984375" bestFit="1" customWidth="1"/>
    <col min="164" max="164" width="4" bestFit="1" customWidth="1"/>
    <col min="165" max="167" width="5.08984375" bestFit="1" customWidth="1"/>
    <col min="168" max="168" width="4" bestFit="1" customWidth="1"/>
    <col min="169" max="177" width="5.08984375" bestFit="1" customWidth="1"/>
    <col min="178" max="178" width="4" bestFit="1" customWidth="1"/>
    <col min="179" max="180" width="5.08984375" bestFit="1" customWidth="1"/>
    <col min="181" max="181" width="4" bestFit="1" customWidth="1"/>
    <col min="182" max="183" width="5.08984375" bestFit="1" customWidth="1"/>
    <col min="184" max="184" width="4" bestFit="1" customWidth="1"/>
    <col min="185" max="186" width="5.08984375" bestFit="1" customWidth="1"/>
    <col min="187" max="188" width="6.08984375" bestFit="1" customWidth="1"/>
    <col min="189" max="189" width="5.08984375" bestFit="1" customWidth="1"/>
    <col min="190" max="190" width="6.08984375" bestFit="1" customWidth="1"/>
    <col min="191" max="192" width="5.08984375" bestFit="1" customWidth="1"/>
    <col min="193" max="194" width="6.08984375" bestFit="1" customWidth="1"/>
    <col min="195" max="195" width="5.08984375" bestFit="1" customWidth="1"/>
    <col min="196" max="201" width="6.08984375" bestFit="1" customWidth="1"/>
    <col min="202" max="202" width="5.08984375" bestFit="1" customWidth="1"/>
    <col min="203" max="203" width="6.08984375" bestFit="1" customWidth="1"/>
    <col min="204" max="204" width="5.08984375" bestFit="1" customWidth="1"/>
    <col min="205" max="214" width="6.08984375" bestFit="1" customWidth="1"/>
    <col min="215" max="216" width="5.08984375" bestFit="1" customWidth="1"/>
    <col min="217" max="219" width="6.08984375" bestFit="1" customWidth="1"/>
    <col min="220" max="220" width="3" bestFit="1" customWidth="1"/>
    <col min="221" max="223" width="6.08984375" bestFit="1" customWidth="1"/>
    <col min="224" max="224" width="5.08984375" bestFit="1" customWidth="1"/>
    <col min="225" max="226" width="6.08984375" bestFit="1" customWidth="1"/>
    <col min="227" max="227" width="5.08984375" bestFit="1" customWidth="1"/>
    <col min="228" max="236" width="6.08984375" bestFit="1" customWidth="1"/>
    <col min="237" max="237" width="5.08984375" bestFit="1" customWidth="1"/>
    <col min="238" max="238" width="6.08984375" bestFit="1" customWidth="1"/>
    <col min="239" max="239" width="5.08984375" bestFit="1" customWidth="1"/>
    <col min="240" max="249" width="6.08984375" bestFit="1" customWidth="1"/>
    <col min="250" max="250" width="5.08984375" bestFit="1" customWidth="1"/>
    <col min="251" max="252" width="6.08984375" bestFit="1" customWidth="1"/>
    <col min="253" max="253" width="5.08984375" bestFit="1" customWidth="1"/>
    <col min="254" max="255" width="6.08984375" bestFit="1" customWidth="1"/>
    <col min="256" max="256" width="3" bestFit="1" customWidth="1"/>
    <col min="257" max="261" width="6.08984375" bestFit="1" customWidth="1"/>
    <col min="262" max="262" width="5.08984375" bestFit="1" customWidth="1"/>
    <col min="263" max="266" width="6.08984375" bestFit="1" customWidth="1"/>
    <col min="267" max="267" width="5.08984375" bestFit="1" customWidth="1"/>
    <col min="268" max="273" width="6.08984375" bestFit="1" customWidth="1"/>
    <col min="274" max="275" width="5.08984375" bestFit="1" customWidth="1"/>
    <col min="276" max="283" width="6.08984375" bestFit="1" customWidth="1"/>
    <col min="284" max="284" width="5.08984375" bestFit="1" customWidth="1"/>
    <col min="285" max="288" width="6.08984375" bestFit="1" customWidth="1"/>
    <col min="289" max="289" width="5.08984375" bestFit="1" customWidth="1"/>
    <col min="290" max="300" width="6.08984375" bestFit="1" customWidth="1"/>
    <col min="301" max="301" width="5.08984375" bestFit="1" customWidth="1"/>
    <col min="302" max="305" width="6.08984375" bestFit="1" customWidth="1"/>
    <col min="306" max="306" width="5.08984375" bestFit="1" customWidth="1"/>
    <col min="307" max="316" width="6.08984375" bestFit="1" customWidth="1"/>
    <col min="317" max="317" width="5.08984375" bestFit="1" customWidth="1"/>
    <col min="318" max="325" width="6.08984375" bestFit="1" customWidth="1"/>
    <col min="326" max="326" width="5.08984375" bestFit="1" customWidth="1"/>
    <col min="327" max="330" width="6.08984375" bestFit="1" customWidth="1"/>
    <col min="331" max="332" width="5.08984375" bestFit="1" customWidth="1"/>
    <col min="333" max="336" width="6.08984375" bestFit="1" customWidth="1"/>
    <col min="337" max="337" width="5.08984375" bestFit="1" customWidth="1"/>
    <col min="338" max="345" width="6.08984375" bestFit="1" customWidth="1"/>
    <col min="346" max="346" width="5.08984375" bestFit="1" customWidth="1"/>
    <col min="347" max="355" width="6.08984375" bestFit="1" customWidth="1"/>
    <col min="356" max="356" width="5.08984375" bestFit="1" customWidth="1"/>
    <col min="357" max="362" width="6.08984375" bestFit="1" customWidth="1"/>
    <col min="363" max="363" width="5.08984375" bestFit="1" customWidth="1"/>
    <col min="364" max="373" width="6.08984375" bestFit="1" customWidth="1"/>
    <col min="374" max="374" width="5.08984375" bestFit="1" customWidth="1"/>
    <col min="375" max="378" width="6.08984375" bestFit="1" customWidth="1"/>
    <col min="379" max="379" width="5.08984375" bestFit="1" customWidth="1"/>
    <col min="380" max="401" width="6.08984375" bestFit="1" customWidth="1"/>
    <col min="402" max="402" width="5.08984375" bestFit="1" customWidth="1"/>
    <col min="403" max="406" width="6.08984375" bestFit="1" customWidth="1"/>
    <col min="407" max="411" width="7.08984375" bestFit="1" customWidth="1"/>
    <col min="412" max="412" width="6.08984375" bestFit="1" customWidth="1"/>
    <col min="413" max="414" width="7.08984375" bestFit="1" customWidth="1"/>
    <col min="415" max="415" width="10.7265625" bestFit="1" customWidth="1"/>
  </cols>
  <sheetData>
    <row r="1" spans="1:10" ht="30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15.5" x14ac:dyDescent="0.35">
      <c r="A3" s="1" t="s">
        <v>1</v>
      </c>
    </row>
    <row r="4" spans="1:10" x14ac:dyDescent="0.35">
      <c r="A4" s="14" t="s">
        <v>2</v>
      </c>
      <c r="B4" s="15"/>
      <c r="C4" s="14" t="s">
        <v>3</v>
      </c>
      <c r="D4" s="15"/>
      <c r="E4" s="14" t="s">
        <v>4</v>
      </c>
      <c r="F4" s="15"/>
      <c r="G4" s="14" t="s">
        <v>5</v>
      </c>
      <c r="H4" s="16"/>
      <c r="I4" s="17" t="s">
        <v>94</v>
      </c>
      <c r="J4" s="16"/>
    </row>
    <row r="5" spans="1:10" ht="21" x14ac:dyDescent="0.5">
      <c r="A5" s="9">
        <f>SUMPRODUCT(1/COUNTIF(Data_Pricing!A2:A513,Data_Pricing!A2:A513))</f>
        <v>73.000000000000369</v>
      </c>
      <c r="B5" s="10"/>
      <c r="C5" s="9">
        <f>ROUND(AVERAGE(Data_Pricing!C2:C513),1)</f>
        <v>24.1</v>
      </c>
      <c r="D5" s="10"/>
      <c r="E5" s="9" t="s">
        <v>6</v>
      </c>
      <c r="F5" s="10"/>
      <c r="G5" s="9" t="s">
        <v>7</v>
      </c>
      <c r="H5" s="10"/>
      <c r="I5" s="9" t="str">
        <f>TEXT(ROUND((AVERAGEIF(Data_Pricing!B:B,2024,Data_Pricing!C:C)-AVERAGEIF(Data_Pricing!B:B,2020,Data_Pricing!C:C))/AVERAGEIF(Data_Pricing!B:B,2020,Data_Pricing!C:C)*100,1),"0.0")&amp;"%"</f>
        <v>84.8%</v>
      </c>
      <c r="J5" s="10"/>
    </row>
    <row r="6" spans="1:10" x14ac:dyDescent="0.35">
      <c r="E6" s="13" t="s">
        <v>93</v>
      </c>
      <c r="F6" s="12"/>
      <c r="G6" s="12"/>
      <c r="H6" s="12"/>
    </row>
    <row r="7" spans="1:10" x14ac:dyDescent="0.35">
      <c r="A7" s="2"/>
    </row>
    <row r="8" spans="1:10" x14ac:dyDescent="0.35">
      <c r="A8" s="18"/>
      <c r="B8" s="19" t="s">
        <v>8</v>
      </c>
      <c r="E8" s="18"/>
      <c r="G8" s="19" t="s">
        <v>95</v>
      </c>
    </row>
    <row r="9" spans="1:10" x14ac:dyDescent="0.35">
      <c r="A9" s="3"/>
    </row>
    <row r="10" spans="1:10" x14ac:dyDescent="0.35">
      <c r="A10" s="3"/>
    </row>
    <row r="11" spans="1:10" x14ac:dyDescent="0.35">
      <c r="A11" s="3"/>
    </row>
    <row r="13" spans="1:10" x14ac:dyDescent="0.35">
      <c r="A13" s="4"/>
    </row>
    <row r="14" spans="1:10" x14ac:dyDescent="0.35">
      <c r="A14" s="5"/>
    </row>
    <row r="21" spans="1:1" x14ac:dyDescent="0.35">
      <c r="A21" s="5"/>
    </row>
    <row r="22" spans="1:1" x14ac:dyDescent="0.35">
      <c r="A22" s="4" t="s">
        <v>9</v>
      </c>
    </row>
    <row r="23" spans="1:1" x14ac:dyDescent="0.35">
      <c r="A23" t="s">
        <v>10</v>
      </c>
    </row>
    <row r="24" spans="1:1" x14ac:dyDescent="0.35">
      <c r="A24" t="s">
        <v>11</v>
      </c>
    </row>
    <row r="25" spans="1:1" x14ac:dyDescent="0.35">
      <c r="A25" t="s">
        <v>12</v>
      </c>
    </row>
    <row r="27" spans="1:1" x14ac:dyDescent="0.35">
      <c r="A27" s="4"/>
    </row>
    <row r="28" spans="1:1" x14ac:dyDescent="0.35">
      <c r="A28" s="5"/>
    </row>
    <row r="35" spans="1:1" x14ac:dyDescent="0.35">
      <c r="A35" s="4" t="s">
        <v>9</v>
      </c>
    </row>
    <row r="36" spans="1:1" x14ac:dyDescent="0.35">
      <c r="A36" t="s">
        <v>10</v>
      </c>
    </row>
    <row r="37" spans="1:1" x14ac:dyDescent="0.35">
      <c r="A37" t="s">
        <v>11</v>
      </c>
    </row>
    <row r="38" spans="1:1" x14ac:dyDescent="0.35">
      <c r="A38" t="s">
        <v>12</v>
      </c>
    </row>
  </sheetData>
  <mergeCells count="12">
    <mergeCell ref="E6:H6"/>
    <mergeCell ref="I5:J5"/>
    <mergeCell ref="A4:B4"/>
    <mergeCell ref="C4:D4"/>
    <mergeCell ref="E4:F4"/>
    <mergeCell ref="G4:H4"/>
    <mergeCell ref="I4:J4"/>
    <mergeCell ref="C5:D5"/>
    <mergeCell ref="A5:B5"/>
    <mergeCell ref="G5:H5"/>
    <mergeCell ref="E5:F5"/>
    <mergeCell ref="A1:J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3"/>
  <sheetViews>
    <sheetView zoomScale="88" workbookViewId="0">
      <selection activeCell="F10" sqref="F10"/>
    </sheetView>
  </sheetViews>
  <sheetFormatPr defaultRowHeight="14.5" x14ac:dyDescent="0.35"/>
  <cols>
    <col min="1" max="1" width="20" customWidth="1"/>
    <col min="2" max="2" width="10" customWidth="1"/>
    <col min="3" max="3" width="18.453125" customWidth="1"/>
    <col min="4" max="4" width="15" customWidth="1"/>
    <col min="5" max="5" width="12" customWidth="1"/>
  </cols>
  <sheetData>
    <row r="1" spans="1:5" x14ac:dyDescent="0.35">
      <c r="A1" s="6" t="s">
        <v>13</v>
      </c>
      <c r="B1" s="6" t="s">
        <v>14</v>
      </c>
      <c r="C1" s="6" t="s">
        <v>15</v>
      </c>
      <c r="D1" s="6" t="s">
        <v>16</v>
      </c>
      <c r="E1" s="6"/>
    </row>
    <row r="2" spans="1:5" x14ac:dyDescent="0.35">
      <c r="A2" t="s">
        <v>17</v>
      </c>
      <c r="B2">
        <v>2024</v>
      </c>
      <c r="C2">
        <v>13.11</v>
      </c>
      <c r="D2" t="s">
        <v>18</v>
      </c>
    </row>
    <row r="3" spans="1:5" x14ac:dyDescent="0.35">
      <c r="A3" t="s">
        <v>19</v>
      </c>
      <c r="B3">
        <v>2015</v>
      </c>
      <c r="C3">
        <v>11.89</v>
      </c>
      <c r="D3" t="s">
        <v>20</v>
      </c>
    </row>
    <row r="4" spans="1:5" x14ac:dyDescent="0.35">
      <c r="A4" t="s">
        <v>19</v>
      </c>
      <c r="B4">
        <v>2016</v>
      </c>
      <c r="C4">
        <v>15.37</v>
      </c>
      <c r="D4" t="s">
        <v>20</v>
      </c>
    </row>
    <row r="5" spans="1:5" x14ac:dyDescent="0.35">
      <c r="A5" t="s">
        <v>19</v>
      </c>
      <c r="B5">
        <v>2017</v>
      </c>
      <c r="C5">
        <v>15.03</v>
      </c>
      <c r="D5" t="s">
        <v>18</v>
      </c>
    </row>
    <row r="6" spans="1:5" x14ac:dyDescent="0.35">
      <c r="A6" t="s">
        <v>19</v>
      </c>
      <c r="B6">
        <v>2017</v>
      </c>
      <c r="C6">
        <v>22.54</v>
      </c>
      <c r="D6" t="s">
        <v>20</v>
      </c>
    </row>
    <row r="7" spans="1:5" x14ac:dyDescent="0.35">
      <c r="A7" t="s">
        <v>19</v>
      </c>
      <c r="B7">
        <v>2018</v>
      </c>
      <c r="C7">
        <v>23.25</v>
      </c>
      <c r="D7" t="s">
        <v>18</v>
      </c>
    </row>
    <row r="8" spans="1:5" x14ac:dyDescent="0.35">
      <c r="A8" t="s">
        <v>19</v>
      </c>
      <c r="B8">
        <v>2018</v>
      </c>
      <c r="C8">
        <v>23.25</v>
      </c>
      <c r="D8" t="s">
        <v>20</v>
      </c>
    </row>
    <row r="9" spans="1:5" x14ac:dyDescent="0.35">
      <c r="A9" t="s">
        <v>19</v>
      </c>
      <c r="B9">
        <v>2019</v>
      </c>
      <c r="C9">
        <v>22.49</v>
      </c>
      <c r="D9" t="s">
        <v>18</v>
      </c>
    </row>
    <row r="10" spans="1:5" x14ac:dyDescent="0.35">
      <c r="A10" t="s">
        <v>19</v>
      </c>
      <c r="B10">
        <v>2019</v>
      </c>
      <c r="C10">
        <v>22.49</v>
      </c>
      <c r="D10" t="s">
        <v>20</v>
      </c>
    </row>
    <row r="11" spans="1:5" x14ac:dyDescent="0.35">
      <c r="A11" t="s">
        <v>19</v>
      </c>
      <c r="B11">
        <v>2020</v>
      </c>
      <c r="C11">
        <v>21.1</v>
      </c>
      <c r="D11" t="s">
        <v>20</v>
      </c>
    </row>
    <row r="12" spans="1:5" x14ac:dyDescent="0.35">
      <c r="A12" t="s">
        <v>19</v>
      </c>
      <c r="B12">
        <v>2021</v>
      </c>
      <c r="C12">
        <v>31.83</v>
      </c>
      <c r="D12" t="s">
        <v>20</v>
      </c>
    </row>
    <row r="13" spans="1:5" x14ac:dyDescent="0.35">
      <c r="A13" t="s">
        <v>19</v>
      </c>
      <c r="B13">
        <v>2022</v>
      </c>
      <c r="C13">
        <v>39.96</v>
      </c>
      <c r="D13" t="s">
        <v>20</v>
      </c>
    </row>
    <row r="14" spans="1:5" x14ac:dyDescent="0.35">
      <c r="A14" t="s">
        <v>19</v>
      </c>
      <c r="B14">
        <v>2023</v>
      </c>
      <c r="C14">
        <v>48.03</v>
      </c>
      <c r="D14" t="s">
        <v>20</v>
      </c>
    </row>
    <row r="15" spans="1:5" x14ac:dyDescent="0.35">
      <c r="A15" t="s">
        <v>19</v>
      </c>
      <c r="B15">
        <v>2024</v>
      </c>
      <c r="C15">
        <v>58.94</v>
      </c>
      <c r="D15" t="s">
        <v>20</v>
      </c>
    </row>
    <row r="16" spans="1:5" x14ac:dyDescent="0.35">
      <c r="A16" t="s">
        <v>21</v>
      </c>
      <c r="B16">
        <v>2018</v>
      </c>
      <c r="C16">
        <v>8.84</v>
      </c>
      <c r="D16" t="s">
        <v>18</v>
      </c>
    </row>
    <row r="17" spans="1:4" x14ac:dyDescent="0.35">
      <c r="A17" t="s">
        <v>21</v>
      </c>
      <c r="B17">
        <v>2019</v>
      </c>
      <c r="C17">
        <v>4.49</v>
      </c>
      <c r="D17" t="s">
        <v>18</v>
      </c>
    </row>
    <row r="18" spans="1:4" x14ac:dyDescent="0.35">
      <c r="A18" t="s">
        <v>21</v>
      </c>
      <c r="B18">
        <v>2020</v>
      </c>
      <c r="C18">
        <v>4.78</v>
      </c>
      <c r="D18" t="s">
        <v>18</v>
      </c>
    </row>
    <row r="19" spans="1:4" x14ac:dyDescent="0.35">
      <c r="A19" t="s">
        <v>21</v>
      </c>
      <c r="B19">
        <v>2021</v>
      </c>
      <c r="C19">
        <v>4.38</v>
      </c>
      <c r="D19" t="s">
        <v>18</v>
      </c>
    </row>
    <row r="20" spans="1:4" x14ac:dyDescent="0.35">
      <c r="A20" t="s">
        <v>21</v>
      </c>
      <c r="B20">
        <v>2022</v>
      </c>
      <c r="C20">
        <v>5.63</v>
      </c>
      <c r="D20" t="s">
        <v>18</v>
      </c>
    </row>
    <row r="21" spans="1:4" x14ac:dyDescent="0.35">
      <c r="A21" t="s">
        <v>21</v>
      </c>
      <c r="B21">
        <v>2023</v>
      </c>
      <c r="C21">
        <v>4.97</v>
      </c>
      <c r="D21" t="s">
        <v>18</v>
      </c>
    </row>
    <row r="22" spans="1:4" x14ac:dyDescent="0.35">
      <c r="A22" t="s">
        <v>21</v>
      </c>
      <c r="B22">
        <v>2024</v>
      </c>
      <c r="C22">
        <v>2.77</v>
      </c>
      <c r="D22" t="s">
        <v>18</v>
      </c>
    </row>
    <row r="23" spans="1:4" x14ac:dyDescent="0.35">
      <c r="A23" t="s">
        <v>22</v>
      </c>
      <c r="B23">
        <v>2024</v>
      </c>
      <c r="C23">
        <v>21.9</v>
      </c>
      <c r="D23" t="s">
        <v>20</v>
      </c>
    </row>
    <row r="24" spans="1:4" x14ac:dyDescent="0.35">
      <c r="A24" t="s">
        <v>23</v>
      </c>
      <c r="B24">
        <v>2023</v>
      </c>
      <c r="C24">
        <v>35.340000000000003</v>
      </c>
      <c r="D24" t="s">
        <v>20</v>
      </c>
    </row>
    <row r="25" spans="1:4" x14ac:dyDescent="0.35">
      <c r="A25" t="s">
        <v>23</v>
      </c>
      <c r="B25">
        <v>2024</v>
      </c>
      <c r="C25">
        <v>48.37</v>
      </c>
      <c r="D25" t="s">
        <v>20</v>
      </c>
    </row>
    <row r="26" spans="1:4" x14ac:dyDescent="0.35">
      <c r="A26" t="s">
        <v>24</v>
      </c>
      <c r="B26">
        <v>2021</v>
      </c>
      <c r="C26">
        <v>8.32</v>
      </c>
      <c r="D26" t="s">
        <v>18</v>
      </c>
    </row>
    <row r="27" spans="1:4" x14ac:dyDescent="0.35">
      <c r="A27" t="s">
        <v>25</v>
      </c>
      <c r="B27">
        <v>2015</v>
      </c>
      <c r="C27">
        <v>8.2100000000000009</v>
      </c>
      <c r="D27" t="s">
        <v>20</v>
      </c>
    </row>
    <row r="28" spans="1:4" x14ac:dyDescent="0.35">
      <c r="A28" t="s">
        <v>25</v>
      </c>
      <c r="B28">
        <v>2016</v>
      </c>
      <c r="C28">
        <v>8.0299999999999994</v>
      </c>
      <c r="D28" t="s">
        <v>20</v>
      </c>
    </row>
    <row r="29" spans="1:4" x14ac:dyDescent="0.35">
      <c r="A29" t="s">
        <v>25</v>
      </c>
      <c r="B29">
        <v>2017</v>
      </c>
      <c r="C29">
        <v>7.4</v>
      </c>
      <c r="D29" t="s">
        <v>20</v>
      </c>
    </row>
    <row r="30" spans="1:4" x14ac:dyDescent="0.35">
      <c r="A30" t="s">
        <v>25</v>
      </c>
      <c r="B30">
        <v>2018</v>
      </c>
      <c r="C30">
        <v>9.44</v>
      </c>
      <c r="D30" t="s">
        <v>20</v>
      </c>
    </row>
    <row r="31" spans="1:4" x14ac:dyDescent="0.35">
      <c r="A31" t="s">
        <v>25</v>
      </c>
      <c r="B31">
        <v>2019</v>
      </c>
      <c r="C31">
        <v>10.4</v>
      </c>
      <c r="D31" t="s">
        <v>20</v>
      </c>
    </row>
    <row r="32" spans="1:4" x14ac:dyDescent="0.35">
      <c r="A32" t="s">
        <v>25</v>
      </c>
      <c r="B32">
        <v>2020</v>
      </c>
      <c r="C32">
        <v>12.2</v>
      </c>
      <c r="D32" t="s">
        <v>20</v>
      </c>
    </row>
    <row r="33" spans="1:4" x14ac:dyDescent="0.35">
      <c r="A33" t="s">
        <v>25</v>
      </c>
      <c r="B33">
        <v>2021</v>
      </c>
      <c r="C33">
        <v>4.32</v>
      </c>
      <c r="D33" t="s">
        <v>20</v>
      </c>
    </row>
    <row r="34" spans="1:4" x14ac:dyDescent="0.35">
      <c r="A34" t="s">
        <v>25</v>
      </c>
      <c r="B34">
        <v>2022</v>
      </c>
      <c r="C34">
        <v>6.53</v>
      </c>
      <c r="D34" t="s">
        <v>20</v>
      </c>
    </row>
    <row r="35" spans="1:4" x14ac:dyDescent="0.35">
      <c r="A35" t="s">
        <v>25</v>
      </c>
      <c r="B35">
        <v>2023</v>
      </c>
      <c r="C35">
        <v>12.96</v>
      </c>
      <c r="D35" t="s">
        <v>20</v>
      </c>
    </row>
    <row r="36" spans="1:4" x14ac:dyDescent="0.35">
      <c r="A36" t="s">
        <v>25</v>
      </c>
      <c r="B36">
        <v>2024</v>
      </c>
      <c r="C36">
        <v>14.51</v>
      </c>
      <c r="D36" t="s">
        <v>20</v>
      </c>
    </row>
    <row r="37" spans="1:4" x14ac:dyDescent="0.35">
      <c r="A37" t="s">
        <v>26</v>
      </c>
      <c r="B37">
        <v>2015</v>
      </c>
      <c r="C37">
        <v>23.78</v>
      </c>
      <c r="D37" t="s">
        <v>18</v>
      </c>
    </row>
    <row r="38" spans="1:4" x14ac:dyDescent="0.35">
      <c r="A38" t="s">
        <v>26</v>
      </c>
      <c r="B38">
        <v>2016</v>
      </c>
      <c r="C38">
        <v>23.06</v>
      </c>
      <c r="D38" t="s">
        <v>18</v>
      </c>
    </row>
    <row r="39" spans="1:4" x14ac:dyDescent="0.35">
      <c r="A39" t="s">
        <v>26</v>
      </c>
      <c r="B39">
        <v>2017</v>
      </c>
      <c r="C39">
        <v>22.54</v>
      </c>
      <c r="D39" t="s">
        <v>18</v>
      </c>
    </row>
    <row r="40" spans="1:4" x14ac:dyDescent="0.35">
      <c r="A40" t="s">
        <v>26</v>
      </c>
      <c r="B40">
        <v>2018</v>
      </c>
      <c r="C40">
        <v>27.13</v>
      </c>
      <c r="D40" t="s">
        <v>18</v>
      </c>
    </row>
    <row r="41" spans="1:4" x14ac:dyDescent="0.35">
      <c r="A41" t="s">
        <v>26</v>
      </c>
      <c r="B41">
        <v>2019</v>
      </c>
      <c r="C41">
        <v>29.99</v>
      </c>
      <c r="D41" t="s">
        <v>18</v>
      </c>
    </row>
    <row r="42" spans="1:4" x14ac:dyDescent="0.35">
      <c r="A42" t="s">
        <v>26</v>
      </c>
      <c r="B42">
        <v>2020</v>
      </c>
      <c r="C42">
        <v>28.14</v>
      </c>
      <c r="D42" t="s">
        <v>18</v>
      </c>
    </row>
    <row r="43" spans="1:4" x14ac:dyDescent="0.35">
      <c r="A43" t="s">
        <v>26</v>
      </c>
      <c r="B43">
        <v>2021</v>
      </c>
      <c r="C43">
        <v>35.81</v>
      </c>
      <c r="D43" t="s">
        <v>18</v>
      </c>
    </row>
    <row r="44" spans="1:4" x14ac:dyDescent="0.35">
      <c r="A44" t="s">
        <v>26</v>
      </c>
      <c r="B44">
        <v>2021</v>
      </c>
      <c r="C44">
        <v>19.899999999999999</v>
      </c>
      <c r="D44" t="s">
        <v>20</v>
      </c>
    </row>
    <row r="45" spans="1:4" x14ac:dyDescent="0.35">
      <c r="A45" t="s">
        <v>26</v>
      </c>
      <c r="B45">
        <v>2022</v>
      </c>
      <c r="C45">
        <v>39.96</v>
      </c>
      <c r="D45" t="s">
        <v>18</v>
      </c>
    </row>
    <row r="46" spans="1:4" x14ac:dyDescent="0.35">
      <c r="A46" t="s">
        <v>26</v>
      </c>
      <c r="B46">
        <v>2022</v>
      </c>
      <c r="C46">
        <v>19.98</v>
      </c>
      <c r="D46" t="s">
        <v>20</v>
      </c>
    </row>
    <row r="47" spans="1:4" x14ac:dyDescent="0.35">
      <c r="A47" t="s">
        <v>26</v>
      </c>
      <c r="B47">
        <v>2023</v>
      </c>
      <c r="C47">
        <v>48.03</v>
      </c>
      <c r="D47" t="s">
        <v>18</v>
      </c>
    </row>
    <row r="48" spans="1:4" x14ac:dyDescent="0.35">
      <c r="A48" t="s">
        <v>26</v>
      </c>
      <c r="B48">
        <v>2023</v>
      </c>
      <c r="C48">
        <v>18.47</v>
      </c>
      <c r="D48" t="s">
        <v>20</v>
      </c>
    </row>
    <row r="49" spans="1:4" x14ac:dyDescent="0.35">
      <c r="A49" t="s">
        <v>26</v>
      </c>
      <c r="B49">
        <v>2024</v>
      </c>
      <c r="C49">
        <v>58.94</v>
      </c>
      <c r="D49" t="s">
        <v>18</v>
      </c>
    </row>
    <row r="50" spans="1:4" x14ac:dyDescent="0.35">
      <c r="A50" t="s">
        <v>26</v>
      </c>
      <c r="B50">
        <v>2024</v>
      </c>
      <c r="C50">
        <v>58.94</v>
      </c>
      <c r="D50" t="s">
        <v>20</v>
      </c>
    </row>
    <row r="51" spans="1:4" x14ac:dyDescent="0.35">
      <c r="A51" t="s">
        <v>27</v>
      </c>
      <c r="B51">
        <v>2015</v>
      </c>
      <c r="C51">
        <v>12.49</v>
      </c>
      <c r="D51" t="s">
        <v>20</v>
      </c>
    </row>
    <row r="52" spans="1:4" x14ac:dyDescent="0.35">
      <c r="A52" t="s">
        <v>27</v>
      </c>
      <c r="B52">
        <v>2016</v>
      </c>
      <c r="C52">
        <v>12.8</v>
      </c>
      <c r="D52" t="s">
        <v>20</v>
      </c>
    </row>
    <row r="53" spans="1:4" x14ac:dyDescent="0.35">
      <c r="A53" t="s">
        <v>27</v>
      </c>
      <c r="B53">
        <v>2017</v>
      </c>
      <c r="C53">
        <v>15.08</v>
      </c>
      <c r="D53" t="s">
        <v>20</v>
      </c>
    </row>
    <row r="54" spans="1:4" x14ac:dyDescent="0.35">
      <c r="A54" t="s">
        <v>27</v>
      </c>
      <c r="B54">
        <v>2018</v>
      </c>
      <c r="C54">
        <v>15.1</v>
      </c>
      <c r="D54" t="s">
        <v>20</v>
      </c>
    </row>
    <row r="55" spans="1:4" x14ac:dyDescent="0.35">
      <c r="A55" t="s">
        <v>27</v>
      </c>
      <c r="B55">
        <v>2019</v>
      </c>
      <c r="C55">
        <v>15.77</v>
      </c>
      <c r="D55" t="s">
        <v>20</v>
      </c>
    </row>
    <row r="56" spans="1:4" x14ac:dyDescent="0.35">
      <c r="A56" t="s">
        <v>27</v>
      </c>
      <c r="B56">
        <v>2020</v>
      </c>
      <c r="C56">
        <v>15.3</v>
      </c>
      <c r="D56" t="s">
        <v>20</v>
      </c>
    </row>
    <row r="57" spans="1:4" x14ac:dyDescent="0.35">
      <c r="A57" t="s">
        <v>27</v>
      </c>
      <c r="B57">
        <v>2021</v>
      </c>
      <c r="C57">
        <v>17.940000000000001</v>
      </c>
      <c r="D57" t="s">
        <v>20</v>
      </c>
    </row>
    <row r="58" spans="1:4" x14ac:dyDescent="0.35">
      <c r="A58" t="s">
        <v>27</v>
      </c>
      <c r="B58">
        <v>2022</v>
      </c>
      <c r="C58">
        <v>30.82</v>
      </c>
      <c r="D58" t="s">
        <v>20</v>
      </c>
    </row>
    <row r="59" spans="1:4" x14ac:dyDescent="0.35">
      <c r="A59" t="s">
        <v>27</v>
      </c>
      <c r="B59">
        <v>2023</v>
      </c>
      <c r="C59">
        <v>29.84</v>
      </c>
      <c r="D59" t="s">
        <v>20</v>
      </c>
    </row>
    <row r="60" spans="1:4" x14ac:dyDescent="0.35">
      <c r="A60" t="s">
        <v>27</v>
      </c>
      <c r="B60">
        <v>2024</v>
      </c>
      <c r="C60">
        <v>38.590000000000003</v>
      </c>
      <c r="D60" t="s">
        <v>20</v>
      </c>
    </row>
    <row r="61" spans="1:4" x14ac:dyDescent="0.35">
      <c r="A61" t="s">
        <v>28</v>
      </c>
      <c r="B61">
        <v>2019</v>
      </c>
      <c r="C61">
        <v>15</v>
      </c>
      <c r="D61" t="s">
        <v>18</v>
      </c>
    </row>
    <row r="62" spans="1:4" x14ac:dyDescent="0.35">
      <c r="A62" t="s">
        <v>28</v>
      </c>
      <c r="B62">
        <v>2020</v>
      </c>
      <c r="C62">
        <v>21.1</v>
      </c>
      <c r="D62" t="s">
        <v>18</v>
      </c>
    </row>
    <row r="63" spans="1:4" x14ac:dyDescent="0.35">
      <c r="A63" t="s">
        <v>28</v>
      </c>
      <c r="B63">
        <v>2021</v>
      </c>
      <c r="C63">
        <v>31.83</v>
      </c>
      <c r="D63" t="s">
        <v>18</v>
      </c>
    </row>
    <row r="64" spans="1:4" x14ac:dyDescent="0.35">
      <c r="A64" t="s">
        <v>28</v>
      </c>
      <c r="B64">
        <v>2021</v>
      </c>
      <c r="C64">
        <v>31.83</v>
      </c>
      <c r="D64" t="s">
        <v>20</v>
      </c>
    </row>
    <row r="65" spans="1:4" x14ac:dyDescent="0.35">
      <c r="A65" t="s">
        <v>28</v>
      </c>
      <c r="B65">
        <v>2022</v>
      </c>
      <c r="C65">
        <v>39.96</v>
      </c>
      <c r="D65" t="s">
        <v>18</v>
      </c>
    </row>
    <row r="66" spans="1:4" x14ac:dyDescent="0.35">
      <c r="A66" t="s">
        <v>28</v>
      </c>
      <c r="B66">
        <v>2022</v>
      </c>
      <c r="C66">
        <v>39.96</v>
      </c>
      <c r="D66" t="s">
        <v>20</v>
      </c>
    </row>
    <row r="67" spans="1:4" x14ac:dyDescent="0.35">
      <c r="A67" t="s">
        <v>28</v>
      </c>
      <c r="B67">
        <v>2023</v>
      </c>
      <c r="C67">
        <v>48.03</v>
      </c>
      <c r="D67" t="s">
        <v>18</v>
      </c>
    </row>
    <row r="68" spans="1:4" x14ac:dyDescent="0.35">
      <c r="A68" t="s">
        <v>28</v>
      </c>
      <c r="B68">
        <v>2023</v>
      </c>
      <c r="C68">
        <v>48.03</v>
      </c>
      <c r="D68" t="s">
        <v>20</v>
      </c>
    </row>
    <row r="69" spans="1:4" x14ac:dyDescent="0.35">
      <c r="A69" t="s">
        <v>28</v>
      </c>
      <c r="B69">
        <v>2024</v>
      </c>
      <c r="C69">
        <v>58.94</v>
      </c>
      <c r="D69" t="s">
        <v>18</v>
      </c>
    </row>
    <row r="70" spans="1:4" x14ac:dyDescent="0.35">
      <c r="A70" t="s">
        <v>28</v>
      </c>
      <c r="B70">
        <v>2024</v>
      </c>
      <c r="C70">
        <v>58.94</v>
      </c>
      <c r="D70" t="s">
        <v>20</v>
      </c>
    </row>
    <row r="71" spans="1:4" x14ac:dyDescent="0.35">
      <c r="A71" t="s">
        <v>29</v>
      </c>
      <c r="B71">
        <v>2017</v>
      </c>
      <c r="C71">
        <v>5</v>
      </c>
      <c r="D71" t="s">
        <v>18</v>
      </c>
    </row>
    <row r="72" spans="1:4" x14ac:dyDescent="0.35">
      <c r="A72" t="s">
        <v>29</v>
      </c>
      <c r="B72">
        <v>2018</v>
      </c>
      <c r="C72">
        <v>5</v>
      </c>
      <c r="D72" t="s">
        <v>18</v>
      </c>
    </row>
    <row r="73" spans="1:4" x14ac:dyDescent="0.35">
      <c r="A73" t="s">
        <v>29</v>
      </c>
      <c r="B73">
        <v>2019</v>
      </c>
      <c r="C73">
        <v>5</v>
      </c>
      <c r="D73" t="s">
        <v>18</v>
      </c>
    </row>
    <row r="74" spans="1:4" x14ac:dyDescent="0.35">
      <c r="A74" t="s">
        <v>29</v>
      </c>
      <c r="B74">
        <v>2020</v>
      </c>
      <c r="C74">
        <v>5</v>
      </c>
      <c r="D74" t="s">
        <v>18</v>
      </c>
    </row>
    <row r="75" spans="1:4" x14ac:dyDescent="0.35">
      <c r="A75" t="s">
        <v>29</v>
      </c>
      <c r="B75">
        <v>2021</v>
      </c>
      <c r="C75">
        <v>5</v>
      </c>
      <c r="D75" t="s">
        <v>18</v>
      </c>
    </row>
    <row r="76" spans="1:4" x14ac:dyDescent="0.35">
      <c r="A76" t="s">
        <v>29</v>
      </c>
      <c r="B76">
        <v>2022</v>
      </c>
      <c r="C76">
        <v>5</v>
      </c>
      <c r="D76" t="s">
        <v>18</v>
      </c>
    </row>
    <row r="77" spans="1:4" x14ac:dyDescent="0.35">
      <c r="A77" t="s">
        <v>29</v>
      </c>
      <c r="B77">
        <v>2023</v>
      </c>
      <c r="C77">
        <v>5</v>
      </c>
      <c r="D77" t="s">
        <v>18</v>
      </c>
    </row>
    <row r="78" spans="1:4" x14ac:dyDescent="0.35">
      <c r="A78" t="s">
        <v>29</v>
      </c>
      <c r="B78">
        <v>2024</v>
      </c>
      <c r="C78">
        <v>5</v>
      </c>
      <c r="D78" t="s">
        <v>18</v>
      </c>
    </row>
    <row r="79" spans="1:4" x14ac:dyDescent="0.35">
      <c r="A79" t="s">
        <v>30</v>
      </c>
      <c r="B79">
        <v>2022</v>
      </c>
      <c r="C79">
        <v>9.1999999999999993</v>
      </c>
      <c r="D79" t="s">
        <v>20</v>
      </c>
    </row>
    <row r="80" spans="1:4" x14ac:dyDescent="0.35">
      <c r="A80" t="s">
        <v>30</v>
      </c>
      <c r="B80">
        <v>2023</v>
      </c>
      <c r="C80">
        <v>8.15</v>
      </c>
      <c r="D80" t="s">
        <v>20</v>
      </c>
    </row>
    <row r="81" spans="1:4" x14ac:dyDescent="0.35">
      <c r="A81" t="s">
        <v>30</v>
      </c>
      <c r="B81">
        <v>2024</v>
      </c>
      <c r="C81">
        <v>12.57</v>
      </c>
      <c r="D81" t="s">
        <v>20</v>
      </c>
    </row>
    <row r="82" spans="1:4" x14ac:dyDescent="0.35">
      <c r="A82" t="s">
        <v>31</v>
      </c>
      <c r="B82">
        <v>2015</v>
      </c>
      <c r="C82">
        <v>3.9</v>
      </c>
      <c r="D82" t="s">
        <v>20</v>
      </c>
    </row>
    <row r="83" spans="1:4" x14ac:dyDescent="0.35">
      <c r="A83" t="s">
        <v>31</v>
      </c>
      <c r="B83">
        <v>2016</v>
      </c>
      <c r="C83">
        <v>1.2</v>
      </c>
      <c r="D83" t="s">
        <v>20</v>
      </c>
    </row>
    <row r="84" spans="1:4" x14ac:dyDescent="0.35">
      <c r="A84" t="s">
        <v>31</v>
      </c>
      <c r="B84">
        <v>2017</v>
      </c>
      <c r="C84">
        <v>0.22</v>
      </c>
      <c r="D84" t="s">
        <v>20</v>
      </c>
    </row>
    <row r="85" spans="1:4" x14ac:dyDescent="0.35">
      <c r="A85" t="s">
        <v>31</v>
      </c>
      <c r="B85">
        <v>2018</v>
      </c>
      <c r="C85">
        <v>3.82</v>
      </c>
      <c r="D85" t="s">
        <v>20</v>
      </c>
    </row>
    <row r="86" spans="1:4" x14ac:dyDescent="0.35">
      <c r="A86" t="s">
        <v>31</v>
      </c>
      <c r="B86">
        <v>2019</v>
      </c>
      <c r="C86">
        <v>0.55000000000000004</v>
      </c>
      <c r="D86" t="s">
        <v>20</v>
      </c>
    </row>
    <row r="87" spans="1:4" x14ac:dyDescent="0.35">
      <c r="A87" t="s">
        <v>31</v>
      </c>
      <c r="B87">
        <v>2020</v>
      </c>
      <c r="C87">
        <v>5.31</v>
      </c>
      <c r="D87" t="s">
        <v>20</v>
      </c>
    </row>
    <row r="88" spans="1:4" x14ac:dyDescent="0.35">
      <c r="A88" t="s">
        <v>31</v>
      </c>
      <c r="B88">
        <v>2021</v>
      </c>
      <c r="C88">
        <v>3.71</v>
      </c>
      <c r="D88" t="s">
        <v>20</v>
      </c>
    </row>
    <row r="89" spans="1:4" x14ac:dyDescent="0.35">
      <c r="A89" t="s">
        <v>31</v>
      </c>
      <c r="B89">
        <v>2022</v>
      </c>
      <c r="C89">
        <v>5.66</v>
      </c>
      <c r="D89" t="s">
        <v>20</v>
      </c>
    </row>
    <row r="90" spans="1:4" x14ac:dyDescent="0.35">
      <c r="A90" t="s">
        <v>31</v>
      </c>
      <c r="B90">
        <v>2023</v>
      </c>
      <c r="C90">
        <v>4.66</v>
      </c>
      <c r="D90" t="s">
        <v>20</v>
      </c>
    </row>
    <row r="91" spans="1:4" x14ac:dyDescent="0.35">
      <c r="A91" t="s">
        <v>31</v>
      </c>
      <c r="B91">
        <v>2024</v>
      </c>
      <c r="C91">
        <v>5.99</v>
      </c>
      <c r="D91" t="s">
        <v>20</v>
      </c>
    </row>
    <row r="92" spans="1:4" x14ac:dyDescent="0.35">
      <c r="A92" t="s">
        <v>32</v>
      </c>
      <c r="B92">
        <v>2017</v>
      </c>
      <c r="C92">
        <v>5.21</v>
      </c>
      <c r="D92" t="s">
        <v>18</v>
      </c>
    </row>
    <row r="93" spans="1:4" x14ac:dyDescent="0.35">
      <c r="A93" t="s">
        <v>32</v>
      </c>
      <c r="B93">
        <v>2018</v>
      </c>
      <c r="C93">
        <v>5.67</v>
      </c>
      <c r="D93" t="s">
        <v>18</v>
      </c>
    </row>
    <row r="94" spans="1:4" x14ac:dyDescent="0.35">
      <c r="A94" t="s">
        <v>32</v>
      </c>
      <c r="B94">
        <v>2019</v>
      </c>
      <c r="C94">
        <v>5.17</v>
      </c>
      <c r="D94" t="s">
        <v>18</v>
      </c>
    </row>
    <row r="95" spans="1:4" x14ac:dyDescent="0.35">
      <c r="A95" t="s">
        <v>32</v>
      </c>
      <c r="B95">
        <v>2020</v>
      </c>
      <c r="C95">
        <v>4.24</v>
      </c>
      <c r="D95" t="s">
        <v>18</v>
      </c>
    </row>
    <row r="96" spans="1:4" x14ac:dyDescent="0.35">
      <c r="A96" t="s">
        <v>32</v>
      </c>
      <c r="B96">
        <v>2021</v>
      </c>
      <c r="C96">
        <v>0</v>
      </c>
      <c r="D96" t="s">
        <v>18</v>
      </c>
    </row>
    <row r="97" spans="1:4" x14ac:dyDescent="0.35">
      <c r="A97" t="s">
        <v>32</v>
      </c>
      <c r="B97">
        <v>2022</v>
      </c>
      <c r="C97">
        <v>5.01</v>
      </c>
      <c r="D97" t="s">
        <v>18</v>
      </c>
    </row>
    <row r="98" spans="1:4" x14ac:dyDescent="0.35">
      <c r="A98" t="s">
        <v>32</v>
      </c>
      <c r="B98">
        <v>2023</v>
      </c>
      <c r="C98">
        <v>5.0599999999999996</v>
      </c>
      <c r="D98" t="s">
        <v>18</v>
      </c>
    </row>
    <row r="99" spans="1:4" x14ac:dyDescent="0.35">
      <c r="A99" t="s">
        <v>32</v>
      </c>
      <c r="B99">
        <v>2024</v>
      </c>
      <c r="C99">
        <v>6.68</v>
      </c>
      <c r="D99" t="s">
        <v>18</v>
      </c>
    </row>
    <row r="100" spans="1:4" x14ac:dyDescent="0.35">
      <c r="A100" t="s">
        <v>33</v>
      </c>
      <c r="B100">
        <v>2015</v>
      </c>
      <c r="C100">
        <v>24.47</v>
      </c>
      <c r="D100" t="s">
        <v>18</v>
      </c>
    </row>
    <row r="101" spans="1:4" x14ac:dyDescent="0.35">
      <c r="A101" t="s">
        <v>33</v>
      </c>
      <c r="B101">
        <v>2016</v>
      </c>
      <c r="C101">
        <v>25.61</v>
      </c>
      <c r="D101" t="s">
        <v>18</v>
      </c>
    </row>
    <row r="102" spans="1:4" x14ac:dyDescent="0.35">
      <c r="A102" t="s">
        <v>33</v>
      </c>
      <c r="B102">
        <v>2017</v>
      </c>
      <c r="C102">
        <v>24.78</v>
      </c>
      <c r="D102" t="s">
        <v>18</v>
      </c>
    </row>
    <row r="103" spans="1:4" x14ac:dyDescent="0.35">
      <c r="A103" t="s">
        <v>33</v>
      </c>
      <c r="B103">
        <v>2018</v>
      </c>
      <c r="C103">
        <v>28.82</v>
      </c>
      <c r="D103" t="s">
        <v>18</v>
      </c>
    </row>
    <row r="104" spans="1:4" x14ac:dyDescent="0.35">
      <c r="A104" t="s">
        <v>33</v>
      </c>
      <c r="B104">
        <v>2019</v>
      </c>
      <c r="C104">
        <v>26.39</v>
      </c>
      <c r="D104" t="s">
        <v>18</v>
      </c>
    </row>
    <row r="105" spans="1:4" x14ac:dyDescent="0.35">
      <c r="A105" t="s">
        <v>33</v>
      </c>
      <c r="B105">
        <v>2020</v>
      </c>
      <c r="C105">
        <v>25.93</v>
      </c>
      <c r="D105" t="s">
        <v>18</v>
      </c>
    </row>
    <row r="106" spans="1:4" x14ac:dyDescent="0.35">
      <c r="A106" t="s">
        <v>33</v>
      </c>
      <c r="B106">
        <v>2021</v>
      </c>
      <c r="C106">
        <v>28.14</v>
      </c>
      <c r="D106" t="s">
        <v>18</v>
      </c>
    </row>
    <row r="107" spans="1:4" x14ac:dyDescent="0.35">
      <c r="A107" t="s">
        <v>33</v>
      </c>
      <c r="B107">
        <v>2022</v>
      </c>
      <c r="C107">
        <v>26.62</v>
      </c>
      <c r="D107" t="s">
        <v>18</v>
      </c>
    </row>
    <row r="108" spans="1:4" x14ac:dyDescent="0.35">
      <c r="A108" t="s">
        <v>33</v>
      </c>
      <c r="B108">
        <v>2023</v>
      </c>
      <c r="C108">
        <v>26.53</v>
      </c>
      <c r="D108" t="s">
        <v>18</v>
      </c>
    </row>
    <row r="109" spans="1:4" x14ac:dyDescent="0.35">
      <c r="A109" t="s">
        <v>33</v>
      </c>
      <c r="B109">
        <v>2024</v>
      </c>
      <c r="C109">
        <v>28.2</v>
      </c>
      <c r="D109" t="s">
        <v>18</v>
      </c>
    </row>
    <row r="110" spans="1:4" x14ac:dyDescent="0.35">
      <c r="A110" t="s">
        <v>34</v>
      </c>
      <c r="B110">
        <v>2024</v>
      </c>
      <c r="C110">
        <v>6.04</v>
      </c>
      <c r="D110" t="s">
        <v>18</v>
      </c>
    </row>
    <row r="111" spans="1:4" x14ac:dyDescent="0.35">
      <c r="A111" t="s">
        <v>35</v>
      </c>
      <c r="B111">
        <v>2015</v>
      </c>
      <c r="C111">
        <v>7.68</v>
      </c>
      <c r="D111" t="s">
        <v>20</v>
      </c>
    </row>
    <row r="112" spans="1:4" x14ac:dyDescent="0.35">
      <c r="A112" t="s">
        <v>35</v>
      </c>
      <c r="B112">
        <v>2016</v>
      </c>
      <c r="C112">
        <v>4.87</v>
      </c>
      <c r="D112" t="s">
        <v>20</v>
      </c>
    </row>
    <row r="113" spans="1:4" x14ac:dyDescent="0.35">
      <c r="A113" t="s">
        <v>35</v>
      </c>
      <c r="B113">
        <v>2017</v>
      </c>
      <c r="C113">
        <v>5.64</v>
      </c>
      <c r="D113" t="s">
        <v>20</v>
      </c>
    </row>
    <row r="114" spans="1:4" x14ac:dyDescent="0.35">
      <c r="A114" t="s">
        <v>35</v>
      </c>
      <c r="B114">
        <v>2018</v>
      </c>
      <c r="C114">
        <v>16.37</v>
      </c>
      <c r="D114" t="s">
        <v>20</v>
      </c>
    </row>
    <row r="115" spans="1:4" x14ac:dyDescent="0.35">
      <c r="A115" t="s">
        <v>35</v>
      </c>
      <c r="B115">
        <v>2019</v>
      </c>
      <c r="C115">
        <v>24.51</v>
      </c>
      <c r="D115" t="s">
        <v>20</v>
      </c>
    </row>
    <row r="116" spans="1:4" x14ac:dyDescent="0.35">
      <c r="A116" t="s">
        <v>35</v>
      </c>
      <c r="B116">
        <v>2020</v>
      </c>
      <c r="C116">
        <v>18.54</v>
      </c>
      <c r="D116" t="s">
        <v>20</v>
      </c>
    </row>
    <row r="117" spans="1:4" x14ac:dyDescent="0.35">
      <c r="A117" t="s">
        <v>35</v>
      </c>
      <c r="B117">
        <v>2021</v>
      </c>
      <c r="C117">
        <v>49.78</v>
      </c>
      <c r="D117" t="s">
        <v>20</v>
      </c>
    </row>
    <row r="118" spans="1:4" x14ac:dyDescent="0.35">
      <c r="A118" t="s">
        <v>35</v>
      </c>
      <c r="B118">
        <v>2022</v>
      </c>
      <c r="C118">
        <v>86.53</v>
      </c>
      <c r="D118" t="s">
        <v>20</v>
      </c>
    </row>
    <row r="119" spans="1:4" x14ac:dyDescent="0.35">
      <c r="A119" t="s">
        <v>35</v>
      </c>
      <c r="B119">
        <v>2023</v>
      </c>
      <c r="C119">
        <v>96.3</v>
      </c>
      <c r="D119" t="s">
        <v>20</v>
      </c>
    </row>
    <row r="120" spans="1:4" x14ac:dyDescent="0.35">
      <c r="A120" t="s">
        <v>35</v>
      </c>
      <c r="B120">
        <v>2024</v>
      </c>
      <c r="C120">
        <v>61.3</v>
      </c>
      <c r="D120" t="s">
        <v>20</v>
      </c>
    </row>
    <row r="121" spans="1:4" x14ac:dyDescent="0.35">
      <c r="A121" t="s">
        <v>36</v>
      </c>
      <c r="B121">
        <v>2015</v>
      </c>
      <c r="C121">
        <v>2.15</v>
      </c>
      <c r="D121" t="s">
        <v>18</v>
      </c>
    </row>
    <row r="122" spans="1:4" x14ac:dyDescent="0.35">
      <c r="A122" t="s">
        <v>36</v>
      </c>
      <c r="B122">
        <v>2016</v>
      </c>
      <c r="C122">
        <v>2.23</v>
      </c>
      <c r="D122" t="s">
        <v>18</v>
      </c>
    </row>
    <row r="123" spans="1:4" x14ac:dyDescent="0.35">
      <c r="A123" t="s">
        <v>36</v>
      </c>
      <c r="B123">
        <v>2017</v>
      </c>
      <c r="C123">
        <v>2.14</v>
      </c>
      <c r="D123" t="s">
        <v>18</v>
      </c>
    </row>
    <row r="124" spans="1:4" x14ac:dyDescent="0.35">
      <c r="A124" t="s">
        <v>36</v>
      </c>
      <c r="B124">
        <v>2018</v>
      </c>
      <c r="C124">
        <v>2.48</v>
      </c>
      <c r="D124" t="s">
        <v>18</v>
      </c>
    </row>
    <row r="125" spans="1:4" x14ac:dyDescent="0.35">
      <c r="A125" t="s">
        <v>36</v>
      </c>
      <c r="B125">
        <v>2019</v>
      </c>
      <c r="C125">
        <v>2.25</v>
      </c>
      <c r="D125" t="s">
        <v>18</v>
      </c>
    </row>
    <row r="126" spans="1:4" x14ac:dyDescent="0.35">
      <c r="A126" t="s">
        <v>36</v>
      </c>
      <c r="B126">
        <v>2020</v>
      </c>
      <c r="C126">
        <v>2.19</v>
      </c>
      <c r="D126" t="s">
        <v>18</v>
      </c>
    </row>
    <row r="127" spans="1:4" x14ac:dyDescent="0.35">
      <c r="A127" t="s">
        <v>36</v>
      </c>
      <c r="B127">
        <v>2021</v>
      </c>
      <c r="C127">
        <v>2.35</v>
      </c>
      <c r="D127" t="s">
        <v>18</v>
      </c>
    </row>
    <row r="128" spans="1:4" x14ac:dyDescent="0.35">
      <c r="A128" t="s">
        <v>36</v>
      </c>
      <c r="B128">
        <v>2022</v>
      </c>
      <c r="C128">
        <v>2.21</v>
      </c>
      <c r="D128" t="s">
        <v>18</v>
      </c>
    </row>
    <row r="129" spans="1:4" x14ac:dyDescent="0.35">
      <c r="A129" t="s">
        <v>36</v>
      </c>
      <c r="B129">
        <v>2023</v>
      </c>
      <c r="C129">
        <v>2.17</v>
      </c>
      <c r="D129" t="s">
        <v>18</v>
      </c>
    </row>
    <row r="130" spans="1:4" x14ac:dyDescent="0.35">
      <c r="A130" t="s">
        <v>36</v>
      </c>
      <c r="B130">
        <v>2024</v>
      </c>
      <c r="C130">
        <v>2.15</v>
      </c>
      <c r="D130" t="s">
        <v>18</v>
      </c>
    </row>
    <row r="131" spans="1:4" x14ac:dyDescent="0.35">
      <c r="A131" t="s">
        <v>37</v>
      </c>
      <c r="B131">
        <v>2015</v>
      </c>
      <c r="C131">
        <v>47.42</v>
      </c>
      <c r="D131" t="s">
        <v>18</v>
      </c>
    </row>
    <row r="132" spans="1:4" x14ac:dyDescent="0.35">
      <c r="A132" t="s">
        <v>37</v>
      </c>
      <c r="B132">
        <v>2016</v>
      </c>
      <c r="C132">
        <v>64.02</v>
      </c>
      <c r="D132" t="s">
        <v>18</v>
      </c>
    </row>
    <row r="133" spans="1:4" x14ac:dyDescent="0.35">
      <c r="A133" t="s">
        <v>37</v>
      </c>
      <c r="B133">
        <v>2017</v>
      </c>
      <c r="C133">
        <v>64.14</v>
      </c>
      <c r="D133" t="s">
        <v>18</v>
      </c>
    </row>
    <row r="134" spans="1:4" x14ac:dyDescent="0.35">
      <c r="A134" t="s">
        <v>37</v>
      </c>
      <c r="B134">
        <v>2018</v>
      </c>
      <c r="C134">
        <v>78.11</v>
      </c>
      <c r="D134" t="s">
        <v>18</v>
      </c>
    </row>
    <row r="135" spans="1:4" x14ac:dyDescent="0.35">
      <c r="A135" t="s">
        <v>37</v>
      </c>
      <c r="B135">
        <v>2019</v>
      </c>
      <c r="C135">
        <v>73.040000000000006</v>
      </c>
      <c r="D135" t="s">
        <v>18</v>
      </c>
    </row>
    <row r="136" spans="1:4" x14ac:dyDescent="0.35">
      <c r="A136" t="s">
        <v>37</v>
      </c>
      <c r="B136">
        <v>2020</v>
      </c>
      <c r="C136">
        <v>71.08</v>
      </c>
      <c r="D136" t="s">
        <v>18</v>
      </c>
    </row>
    <row r="137" spans="1:4" x14ac:dyDescent="0.35">
      <c r="A137" t="s">
        <v>37</v>
      </c>
      <c r="B137">
        <v>2021</v>
      </c>
      <c r="C137">
        <v>76.34</v>
      </c>
      <c r="D137" t="s">
        <v>18</v>
      </c>
    </row>
    <row r="138" spans="1:4" x14ac:dyDescent="0.35">
      <c r="A138" t="s">
        <v>37</v>
      </c>
      <c r="B138">
        <v>2022</v>
      </c>
      <c r="C138">
        <v>71.84</v>
      </c>
      <c r="D138" t="s">
        <v>18</v>
      </c>
    </row>
    <row r="139" spans="1:4" x14ac:dyDescent="0.35">
      <c r="A139" t="s">
        <v>37</v>
      </c>
      <c r="B139">
        <v>2023</v>
      </c>
      <c r="C139">
        <v>70.69</v>
      </c>
      <c r="D139" t="s">
        <v>18</v>
      </c>
    </row>
    <row r="140" spans="1:4" x14ac:dyDescent="0.35">
      <c r="A140" t="s">
        <v>37</v>
      </c>
      <c r="B140">
        <v>2024</v>
      </c>
      <c r="C140">
        <v>82.54</v>
      </c>
      <c r="D140" t="s">
        <v>18</v>
      </c>
    </row>
    <row r="141" spans="1:4" x14ac:dyDescent="0.35">
      <c r="A141" t="s">
        <v>38</v>
      </c>
      <c r="B141">
        <v>2015</v>
      </c>
      <c r="C141">
        <v>15.59</v>
      </c>
      <c r="D141" t="s">
        <v>18</v>
      </c>
    </row>
    <row r="142" spans="1:4" x14ac:dyDescent="0.35">
      <c r="A142" t="s">
        <v>38</v>
      </c>
      <c r="B142">
        <v>2016</v>
      </c>
      <c r="C142">
        <v>24.56</v>
      </c>
      <c r="D142" t="s">
        <v>18</v>
      </c>
    </row>
    <row r="143" spans="1:4" x14ac:dyDescent="0.35">
      <c r="A143" t="s">
        <v>38</v>
      </c>
      <c r="B143">
        <v>2017</v>
      </c>
      <c r="C143">
        <v>32.61</v>
      </c>
      <c r="D143" t="s">
        <v>18</v>
      </c>
    </row>
    <row r="144" spans="1:4" x14ac:dyDescent="0.35">
      <c r="A144" t="s">
        <v>38</v>
      </c>
      <c r="B144">
        <v>2018</v>
      </c>
      <c r="C144">
        <v>55.3</v>
      </c>
      <c r="D144" t="s">
        <v>18</v>
      </c>
    </row>
    <row r="145" spans="1:4" x14ac:dyDescent="0.35">
      <c r="A145" t="s">
        <v>38</v>
      </c>
      <c r="B145">
        <v>2019</v>
      </c>
      <c r="C145">
        <v>50.11</v>
      </c>
      <c r="D145" t="s">
        <v>18</v>
      </c>
    </row>
    <row r="146" spans="1:4" x14ac:dyDescent="0.35">
      <c r="A146" t="s">
        <v>38</v>
      </c>
      <c r="B146">
        <v>2020</v>
      </c>
      <c r="C146">
        <v>48.77</v>
      </c>
      <c r="D146" t="s">
        <v>18</v>
      </c>
    </row>
    <row r="147" spans="1:4" x14ac:dyDescent="0.35">
      <c r="A147" t="s">
        <v>38</v>
      </c>
      <c r="B147">
        <v>2021</v>
      </c>
      <c r="C147">
        <v>52.39</v>
      </c>
      <c r="D147" t="s">
        <v>18</v>
      </c>
    </row>
    <row r="148" spans="1:4" x14ac:dyDescent="0.35">
      <c r="A148" t="s">
        <v>38</v>
      </c>
      <c r="B148">
        <v>2022</v>
      </c>
      <c r="C148">
        <v>49.29</v>
      </c>
      <c r="D148" t="s">
        <v>18</v>
      </c>
    </row>
    <row r="149" spans="1:4" x14ac:dyDescent="0.35">
      <c r="A149" t="s">
        <v>38</v>
      </c>
      <c r="B149">
        <v>2023</v>
      </c>
      <c r="C149">
        <v>48.5</v>
      </c>
      <c r="D149" t="s">
        <v>18</v>
      </c>
    </row>
    <row r="150" spans="1:4" x14ac:dyDescent="0.35">
      <c r="A150" t="s">
        <v>38</v>
      </c>
      <c r="B150">
        <v>2024</v>
      </c>
      <c r="C150">
        <v>47.94</v>
      </c>
      <c r="D150" t="s">
        <v>18</v>
      </c>
    </row>
    <row r="151" spans="1:4" x14ac:dyDescent="0.35">
      <c r="A151" t="s">
        <v>39</v>
      </c>
      <c r="B151">
        <v>2017</v>
      </c>
      <c r="C151">
        <v>5.18</v>
      </c>
      <c r="D151" t="s">
        <v>20</v>
      </c>
    </row>
    <row r="152" spans="1:4" x14ac:dyDescent="0.35">
      <c r="A152" t="s">
        <v>39</v>
      </c>
      <c r="B152">
        <v>2018</v>
      </c>
      <c r="C152">
        <v>3.18</v>
      </c>
      <c r="D152" t="s">
        <v>20</v>
      </c>
    </row>
    <row r="153" spans="1:4" x14ac:dyDescent="0.35">
      <c r="A153" t="s">
        <v>39</v>
      </c>
      <c r="B153">
        <v>2019</v>
      </c>
      <c r="C153">
        <v>1.52</v>
      </c>
      <c r="D153" t="s">
        <v>20</v>
      </c>
    </row>
    <row r="154" spans="1:4" x14ac:dyDescent="0.35">
      <c r="A154" t="s">
        <v>39</v>
      </c>
      <c r="B154">
        <v>2020</v>
      </c>
      <c r="C154">
        <v>1.28</v>
      </c>
      <c r="D154" t="s">
        <v>20</v>
      </c>
    </row>
    <row r="155" spans="1:4" x14ac:dyDescent="0.35">
      <c r="A155" t="s">
        <v>39</v>
      </c>
      <c r="B155">
        <v>2021</v>
      </c>
      <c r="C155">
        <v>1.25</v>
      </c>
      <c r="D155" t="s">
        <v>20</v>
      </c>
    </row>
    <row r="156" spans="1:4" x14ac:dyDescent="0.35">
      <c r="A156" t="s">
        <v>39</v>
      </c>
      <c r="B156">
        <v>2022</v>
      </c>
      <c r="C156">
        <v>1.83</v>
      </c>
      <c r="D156" t="s">
        <v>20</v>
      </c>
    </row>
    <row r="157" spans="1:4" x14ac:dyDescent="0.35">
      <c r="A157" t="s">
        <v>39</v>
      </c>
      <c r="B157">
        <v>2023</v>
      </c>
      <c r="C157">
        <v>4.66</v>
      </c>
      <c r="D157" t="s">
        <v>20</v>
      </c>
    </row>
    <row r="158" spans="1:4" x14ac:dyDescent="0.35">
      <c r="A158" t="s">
        <v>39</v>
      </c>
      <c r="B158">
        <v>2024</v>
      </c>
      <c r="C158">
        <v>3.75</v>
      </c>
      <c r="D158" t="s">
        <v>20</v>
      </c>
    </row>
    <row r="159" spans="1:4" x14ac:dyDescent="0.35">
      <c r="A159" t="s">
        <v>40</v>
      </c>
      <c r="B159">
        <v>2021</v>
      </c>
      <c r="C159">
        <v>29.37</v>
      </c>
      <c r="D159" t="s">
        <v>20</v>
      </c>
    </row>
    <row r="160" spans="1:4" x14ac:dyDescent="0.35">
      <c r="A160" t="s">
        <v>40</v>
      </c>
      <c r="B160">
        <v>2022</v>
      </c>
      <c r="C160">
        <v>33.159999999999997</v>
      </c>
      <c r="D160" t="s">
        <v>20</v>
      </c>
    </row>
    <row r="161" spans="1:4" x14ac:dyDescent="0.35">
      <c r="A161" t="s">
        <v>40</v>
      </c>
      <c r="B161">
        <v>2023</v>
      </c>
      <c r="C161">
        <v>32.619999999999997</v>
      </c>
      <c r="D161" t="s">
        <v>20</v>
      </c>
    </row>
    <row r="162" spans="1:4" x14ac:dyDescent="0.35">
      <c r="A162" t="s">
        <v>40</v>
      </c>
      <c r="B162">
        <v>2024</v>
      </c>
      <c r="C162">
        <v>48.37</v>
      </c>
      <c r="D162" t="s">
        <v>20</v>
      </c>
    </row>
    <row r="163" spans="1:4" x14ac:dyDescent="0.35">
      <c r="A163" t="s">
        <v>41</v>
      </c>
      <c r="B163">
        <v>2024</v>
      </c>
      <c r="C163">
        <v>2.72</v>
      </c>
      <c r="D163" t="s">
        <v>18</v>
      </c>
    </row>
    <row r="164" spans="1:4" x14ac:dyDescent="0.35">
      <c r="A164" t="s">
        <v>42</v>
      </c>
      <c r="B164">
        <v>2015</v>
      </c>
      <c r="C164">
        <v>5.48</v>
      </c>
      <c r="D164" t="s">
        <v>20</v>
      </c>
    </row>
    <row r="165" spans="1:4" x14ac:dyDescent="0.35">
      <c r="A165" t="s">
        <v>42</v>
      </c>
      <c r="B165">
        <v>2016</v>
      </c>
      <c r="C165">
        <v>1.32</v>
      </c>
      <c r="D165" t="s">
        <v>20</v>
      </c>
    </row>
    <row r="166" spans="1:4" x14ac:dyDescent="0.35">
      <c r="A166" t="s">
        <v>42</v>
      </c>
      <c r="B166">
        <v>2017</v>
      </c>
      <c r="C166">
        <v>1.88</v>
      </c>
      <c r="D166" t="s">
        <v>20</v>
      </c>
    </row>
    <row r="167" spans="1:4" x14ac:dyDescent="0.35">
      <c r="A167" t="s">
        <v>42</v>
      </c>
      <c r="B167">
        <v>2018</v>
      </c>
      <c r="C167">
        <v>2.3199999999999998</v>
      </c>
      <c r="D167" t="s">
        <v>20</v>
      </c>
    </row>
    <row r="168" spans="1:4" x14ac:dyDescent="0.35">
      <c r="A168" t="s">
        <v>42</v>
      </c>
      <c r="B168">
        <v>2019</v>
      </c>
      <c r="C168">
        <v>2.92</v>
      </c>
      <c r="D168" t="s">
        <v>20</v>
      </c>
    </row>
    <row r="169" spans="1:4" x14ac:dyDescent="0.35">
      <c r="A169" t="s">
        <v>42</v>
      </c>
      <c r="B169">
        <v>2020</v>
      </c>
      <c r="C169">
        <v>4.13</v>
      </c>
      <c r="D169" t="s">
        <v>20</v>
      </c>
    </row>
    <row r="170" spans="1:4" x14ac:dyDescent="0.35">
      <c r="A170" t="s">
        <v>42</v>
      </c>
      <c r="B170">
        <v>2021</v>
      </c>
      <c r="C170">
        <v>5.72</v>
      </c>
      <c r="D170" t="s">
        <v>20</v>
      </c>
    </row>
    <row r="171" spans="1:4" x14ac:dyDescent="0.35">
      <c r="A171" t="s">
        <v>42</v>
      </c>
      <c r="B171">
        <v>2022</v>
      </c>
      <c r="C171">
        <v>12.51</v>
      </c>
      <c r="D171" t="s">
        <v>20</v>
      </c>
    </row>
    <row r="172" spans="1:4" x14ac:dyDescent="0.35">
      <c r="A172" t="s">
        <v>42</v>
      </c>
      <c r="B172">
        <v>2023</v>
      </c>
      <c r="C172">
        <v>12.34</v>
      </c>
      <c r="D172" t="s">
        <v>20</v>
      </c>
    </row>
    <row r="173" spans="1:4" x14ac:dyDescent="0.35">
      <c r="A173" t="s">
        <v>42</v>
      </c>
      <c r="B173">
        <v>2024</v>
      </c>
      <c r="C173">
        <v>8.94</v>
      </c>
      <c r="D173" t="s">
        <v>20</v>
      </c>
    </row>
    <row r="174" spans="1:4" x14ac:dyDescent="0.35">
      <c r="A174" t="s">
        <v>43</v>
      </c>
      <c r="B174">
        <v>2015</v>
      </c>
      <c r="C174">
        <v>4.18</v>
      </c>
      <c r="D174" t="s">
        <v>20</v>
      </c>
    </row>
    <row r="175" spans="1:4" x14ac:dyDescent="0.35">
      <c r="A175" t="s">
        <v>43</v>
      </c>
      <c r="B175">
        <v>2016</v>
      </c>
      <c r="C175">
        <v>2.11</v>
      </c>
      <c r="D175" t="s">
        <v>20</v>
      </c>
    </row>
    <row r="176" spans="1:4" x14ac:dyDescent="0.35">
      <c r="A176" t="s">
        <v>43</v>
      </c>
      <c r="B176">
        <v>2017</v>
      </c>
      <c r="C176">
        <v>1.78</v>
      </c>
      <c r="D176" t="s">
        <v>20</v>
      </c>
    </row>
    <row r="177" spans="1:4" x14ac:dyDescent="0.35">
      <c r="A177" t="s">
        <v>43</v>
      </c>
      <c r="B177">
        <v>2018</v>
      </c>
      <c r="C177">
        <v>2.3199999999999998</v>
      </c>
      <c r="D177" t="s">
        <v>20</v>
      </c>
    </row>
    <row r="178" spans="1:4" x14ac:dyDescent="0.35">
      <c r="A178" t="s">
        <v>43</v>
      </c>
      <c r="B178">
        <v>2019</v>
      </c>
      <c r="C178">
        <v>4.13</v>
      </c>
      <c r="D178" t="s">
        <v>20</v>
      </c>
    </row>
    <row r="179" spans="1:4" x14ac:dyDescent="0.35">
      <c r="A179" t="s">
        <v>43</v>
      </c>
      <c r="B179">
        <v>2020</v>
      </c>
      <c r="C179">
        <v>3.57</v>
      </c>
      <c r="D179" t="s">
        <v>20</v>
      </c>
    </row>
    <row r="180" spans="1:4" x14ac:dyDescent="0.35">
      <c r="A180" t="s">
        <v>43</v>
      </c>
      <c r="B180">
        <v>2021</v>
      </c>
      <c r="C180">
        <v>4.41</v>
      </c>
      <c r="D180" t="s">
        <v>20</v>
      </c>
    </row>
    <row r="181" spans="1:4" x14ac:dyDescent="0.35">
      <c r="A181" t="s">
        <v>43</v>
      </c>
      <c r="B181">
        <v>2022</v>
      </c>
      <c r="C181">
        <v>7.24</v>
      </c>
      <c r="D181" t="s">
        <v>20</v>
      </c>
    </row>
    <row r="182" spans="1:4" x14ac:dyDescent="0.35">
      <c r="A182" t="s">
        <v>43</v>
      </c>
      <c r="B182">
        <v>2023</v>
      </c>
      <c r="C182">
        <v>6.96</v>
      </c>
      <c r="D182" t="s">
        <v>20</v>
      </c>
    </row>
    <row r="183" spans="1:4" x14ac:dyDescent="0.35">
      <c r="A183" t="s">
        <v>43</v>
      </c>
      <c r="B183">
        <v>2024</v>
      </c>
      <c r="C183">
        <v>5.62</v>
      </c>
      <c r="D183" t="s">
        <v>20</v>
      </c>
    </row>
    <row r="184" spans="1:4" x14ac:dyDescent="0.35">
      <c r="A184" t="s">
        <v>44</v>
      </c>
      <c r="B184">
        <v>2024</v>
      </c>
      <c r="C184">
        <v>38.700000000000003</v>
      </c>
      <c r="D184" t="s">
        <v>18</v>
      </c>
    </row>
    <row r="185" spans="1:4" x14ac:dyDescent="0.35">
      <c r="A185" t="s">
        <v>45</v>
      </c>
      <c r="B185">
        <v>2015</v>
      </c>
      <c r="C185">
        <v>16.600000000000001</v>
      </c>
      <c r="D185" t="s">
        <v>18</v>
      </c>
    </row>
    <row r="186" spans="1:4" x14ac:dyDescent="0.35">
      <c r="A186" t="s">
        <v>45</v>
      </c>
      <c r="B186">
        <v>2016</v>
      </c>
      <c r="C186">
        <v>19</v>
      </c>
      <c r="D186" t="s">
        <v>18</v>
      </c>
    </row>
    <row r="187" spans="1:4" x14ac:dyDescent="0.35">
      <c r="A187" t="s">
        <v>45</v>
      </c>
      <c r="B187">
        <v>2017</v>
      </c>
      <c r="C187">
        <v>21.64</v>
      </c>
      <c r="D187" t="s">
        <v>18</v>
      </c>
    </row>
    <row r="188" spans="1:4" x14ac:dyDescent="0.35">
      <c r="A188" t="s">
        <v>45</v>
      </c>
      <c r="B188">
        <v>2018</v>
      </c>
      <c r="C188">
        <v>37.479999999999997</v>
      </c>
      <c r="D188" t="s">
        <v>18</v>
      </c>
    </row>
    <row r="189" spans="1:4" x14ac:dyDescent="0.35">
      <c r="A189" t="s">
        <v>45</v>
      </c>
      <c r="B189">
        <v>2019</v>
      </c>
      <c r="C189">
        <v>36.24</v>
      </c>
      <c r="D189" t="s">
        <v>18</v>
      </c>
    </row>
    <row r="190" spans="1:4" x14ac:dyDescent="0.35">
      <c r="A190" t="s">
        <v>45</v>
      </c>
      <c r="B190">
        <v>2020</v>
      </c>
      <c r="C190">
        <v>21.15</v>
      </c>
      <c r="D190" t="s">
        <v>18</v>
      </c>
    </row>
    <row r="191" spans="1:4" x14ac:dyDescent="0.35">
      <c r="A191" t="s">
        <v>45</v>
      </c>
      <c r="B191">
        <v>2021</v>
      </c>
      <c r="C191">
        <v>23.7</v>
      </c>
      <c r="D191" t="s">
        <v>18</v>
      </c>
    </row>
    <row r="192" spans="1:4" x14ac:dyDescent="0.35">
      <c r="A192" t="s">
        <v>45</v>
      </c>
      <c r="B192">
        <v>2022</v>
      </c>
      <c r="C192">
        <v>24.23</v>
      </c>
      <c r="D192" t="s">
        <v>18</v>
      </c>
    </row>
    <row r="193" spans="1:4" x14ac:dyDescent="0.35">
      <c r="A193" t="s">
        <v>45</v>
      </c>
      <c r="B193">
        <v>2023</v>
      </c>
      <c r="C193">
        <v>24.15</v>
      </c>
      <c r="D193" t="s">
        <v>18</v>
      </c>
    </row>
    <row r="194" spans="1:4" x14ac:dyDescent="0.35">
      <c r="A194" t="s">
        <v>45</v>
      </c>
      <c r="B194">
        <v>2024</v>
      </c>
      <c r="C194">
        <v>24.22</v>
      </c>
      <c r="D194" t="s">
        <v>18</v>
      </c>
    </row>
    <row r="195" spans="1:4" x14ac:dyDescent="0.35">
      <c r="A195" t="s">
        <v>46</v>
      </c>
      <c r="B195">
        <v>2024</v>
      </c>
      <c r="C195">
        <v>0.61</v>
      </c>
      <c r="D195" t="s">
        <v>20</v>
      </c>
    </row>
    <row r="196" spans="1:4" x14ac:dyDescent="0.35">
      <c r="A196" t="s">
        <v>47</v>
      </c>
      <c r="B196">
        <v>2015</v>
      </c>
      <c r="C196">
        <v>21.51</v>
      </c>
      <c r="D196" t="s">
        <v>18</v>
      </c>
    </row>
    <row r="197" spans="1:4" x14ac:dyDescent="0.35">
      <c r="A197" t="s">
        <v>47</v>
      </c>
      <c r="B197">
        <v>2016</v>
      </c>
      <c r="C197">
        <v>22.32</v>
      </c>
      <c r="D197" t="s">
        <v>18</v>
      </c>
    </row>
    <row r="198" spans="1:4" x14ac:dyDescent="0.35">
      <c r="A198" t="s">
        <v>47</v>
      </c>
      <c r="B198">
        <v>2017</v>
      </c>
      <c r="C198">
        <v>21.38</v>
      </c>
      <c r="D198" t="s">
        <v>18</v>
      </c>
    </row>
    <row r="199" spans="1:4" x14ac:dyDescent="0.35">
      <c r="A199" t="s">
        <v>47</v>
      </c>
      <c r="B199">
        <v>2018</v>
      </c>
      <c r="C199">
        <v>24.8</v>
      </c>
      <c r="D199" t="s">
        <v>18</v>
      </c>
    </row>
    <row r="200" spans="1:4" x14ac:dyDescent="0.35">
      <c r="A200" t="s">
        <v>47</v>
      </c>
      <c r="B200">
        <v>2019</v>
      </c>
      <c r="C200">
        <v>22.47</v>
      </c>
      <c r="D200" t="s">
        <v>18</v>
      </c>
    </row>
    <row r="201" spans="1:4" x14ac:dyDescent="0.35">
      <c r="A201" t="s">
        <v>47</v>
      </c>
      <c r="B201">
        <v>2020</v>
      </c>
      <c r="C201">
        <v>28.43</v>
      </c>
      <c r="D201" t="s">
        <v>18</v>
      </c>
    </row>
    <row r="202" spans="1:4" x14ac:dyDescent="0.35">
      <c r="A202" t="s">
        <v>47</v>
      </c>
      <c r="B202">
        <v>2021</v>
      </c>
      <c r="C202">
        <v>39.35</v>
      </c>
      <c r="D202" t="s">
        <v>18</v>
      </c>
    </row>
    <row r="203" spans="1:4" x14ac:dyDescent="0.35">
      <c r="A203" t="s">
        <v>47</v>
      </c>
      <c r="B203">
        <v>2022</v>
      </c>
      <c r="C203">
        <v>45.31</v>
      </c>
      <c r="D203" t="s">
        <v>18</v>
      </c>
    </row>
    <row r="204" spans="1:4" x14ac:dyDescent="0.35">
      <c r="A204" t="s">
        <v>47</v>
      </c>
      <c r="B204">
        <v>2023</v>
      </c>
      <c r="C204">
        <v>52.74</v>
      </c>
      <c r="D204" t="s">
        <v>18</v>
      </c>
    </row>
    <row r="205" spans="1:4" x14ac:dyDescent="0.35">
      <c r="A205" t="s">
        <v>47</v>
      </c>
      <c r="B205">
        <v>2024</v>
      </c>
      <c r="C205">
        <v>60.19</v>
      </c>
      <c r="D205" t="s">
        <v>18</v>
      </c>
    </row>
    <row r="206" spans="1:4" x14ac:dyDescent="0.35">
      <c r="A206" t="s">
        <v>48</v>
      </c>
      <c r="B206">
        <v>2015</v>
      </c>
      <c r="C206">
        <v>1.59</v>
      </c>
      <c r="D206" t="s">
        <v>18</v>
      </c>
    </row>
    <row r="207" spans="1:4" x14ac:dyDescent="0.35">
      <c r="A207" t="s">
        <v>48</v>
      </c>
      <c r="B207">
        <v>2016</v>
      </c>
      <c r="C207">
        <v>2.82</v>
      </c>
      <c r="D207" t="s">
        <v>18</v>
      </c>
    </row>
    <row r="208" spans="1:4" x14ac:dyDescent="0.35">
      <c r="A208" t="s">
        <v>48</v>
      </c>
      <c r="B208">
        <v>2017</v>
      </c>
      <c r="C208">
        <v>2.58</v>
      </c>
      <c r="D208" t="s">
        <v>18</v>
      </c>
    </row>
    <row r="209" spans="1:4" x14ac:dyDescent="0.35">
      <c r="A209" t="s">
        <v>48</v>
      </c>
      <c r="B209">
        <v>2018</v>
      </c>
      <c r="C209">
        <v>2.74</v>
      </c>
      <c r="D209" t="s">
        <v>18</v>
      </c>
    </row>
    <row r="210" spans="1:4" x14ac:dyDescent="0.35">
      <c r="A210" t="s">
        <v>48</v>
      </c>
      <c r="B210">
        <v>2019</v>
      </c>
      <c r="C210">
        <v>2.6</v>
      </c>
      <c r="D210" t="s">
        <v>18</v>
      </c>
    </row>
    <row r="211" spans="1:4" x14ac:dyDescent="0.35">
      <c r="A211" t="s">
        <v>48</v>
      </c>
      <c r="B211">
        <v>2020</v>
      </c>
      <c r="C211">
        <v>2.69</v>
      </c>
      <c r="D211" t="s">
        <v>18</v>
      </c>
    </row>
    <row r="212" spans="1:4" x14ac:dyDescent="0.35">
      <c r="A212" t="s">
        <v>48</v>
      </c>
      <c r="B212">
        <v>2021</v>
      </c>
      <c r="C212">
        <v>2.61</v>
      </c>
      <c r="D212" t="s">
        <v>18</v>
      </c>
    </row>
    <row r="213" spans="1:4" x14ac:dyDescent="0.35">
      <c r="A213" t="s">
        <v>48</v>
      </c>
      <c r="B213">
        <v>2022</v>
      </c>
      <c r="C213">
        <v>2.36</v>
      </c>
      <c r="D213" t="s">
        <v>18</v>
      </c>
    </row>
    <row r="214" spans="1:4" x14ac:dyDescent="0.35">
      <c r="A214" t="s">
        <v>48</v>
      </c>
      <c r="B214">
        <v>2023</v>
      </c>
      <c r="C214">
        <v>2.17</v>
      </c>
      <c r="D214" t="s">
        <v>18</v>
      </c>
    </row>
    <row r="215" spans="1:4" x14ac:dyDescent="0.35">
      <c r="A215" t="s">
        <v>48</v>
      </c>
      <c r="B215">
        <v>2024</v>
      </c>
      <c r="C215">
        <v>1.91</v>
      </c>
      <c r="D215" t="s">
        <v>18</v>
      </c>
    </row>
    <row r="216" spans="1:4" x14ac:dyDescent="0.35">
      <c r="A216" t="s">
        <v>49</v>
      </c>
      <c r="B216">
        <v>2015</v>
      </c>
      <c r="C216">
        <v>2.04</v>
      </c>
      <c r="D216" t="s">
        <v>20</v>
      </c>
    </row>
    <row r="217" spans="1:4" x14ac:dyDescent="0.35">
      <c r="A217" t="s">
        <v>49</v>
      </c>
      <c r="B217">
        <v>2020</v>
      </c>
      <c r="C217">
        <v>1.1100000000000001</v>
      </c>
      <c r="D217" t="s">
        <v>20</v>
      </c>
    </row>
    <row r="218" spans="1:4" x14ac:dyDescent="0.35">
      <c r="A218" t="s">
        <v>49</v>
      </c>
      <c r="B218">
        <v>2021</v>
      </c>
      <c r="C218">
        <v>1.18</v>
      </c>
      <c r="D218" t="s">
        <v>20</v>
      </c>
    </row>
    <row r="219" spans="1:4" x14ac:dyDescent="0.35">
      <c r="A219" t="s">
        <v>49</v>
      </c>
      <c r="B219">
        <v>2022</v>
      </c>
      <c r="C219">
        <v>1.08</v>
      </c>
      <c r="D219" t="s">
        <v>20</v>
      </c>
    </row>
    <row r="220" spans="1:4" x14ac:dyDescent="0.35">
      <c r="A220" t="s">
        <v>49</v>
      </c>
      <c r="B220">
        <v>2023</v>
      </c>
      <c r="C220">
        <v>1.1200000000000001</v>
      </c>
      <c r="D220" t="s">
        <v>20</v>
      </c>
    </row>
    <row r="221" spans="1:4" x14ac:dyDescent="0.35">
      <c r="A221" t="s">
        <v>49</v>
      </c>
      <c r="B221">
        <v>2024</v>
      </c>
      <c r="C221">
        <v>1.06</v>
      </c>
      <c r="D221" t="s">
        <v>20</v>
      </c>
    </row>
    <row r="222" spans="1:4" x14ac:dyDescent="0.35">
      <c r="A222" t="s">
        <v>50</v>
      </c>
      <c r="B222">
        <v>2015</v>
      </c>
      <c r="C222">
        <v>9.1</v>
      </c>
      <c r="D222" t="s">
        <v>20</v>
      </c>
    </row>
    <row r="223" spans="1:4" x14ac:dyDescent="0.35">
      <c r="A223" t="s">
        <v>50</v>
      </c>
      <c r="B223">
        <v>2016</v>
      </c>
      <c r="C223">
        <v>15.14</v>
      </c>
      <c r="D223" t="s">
        <v>20</v>
      </c>
    </row>
    <row r="224" spans="1:4" x14ac:dyDescent="0.35">
      <c r="A224" t="s">
        <v>50</v>
      </c>
      <c r="B224">
        <v>2017</v>
      </c>
      <c r="C224">
        <v>18.23</v>
      </c>
      <c r="D224" t="s">
        <v>20</v>
      </c>
    </row>
    <row r="225" spans="1:4" x14ac:dyDescent="0.35">
      <c r="A225" t="s">
        <v>50</v>
      </c>
      <c r="B225">
        <v>2018</v>
      </c>
      <c r="C225">
        <v>20.52</v>
      </c>
      <c r="D225" t="s">
        <v>20</v>
      </c>
    </row>
    <row r="226" spans="1:4" x14ac:dyDescent="0.35">
      <c r="A226" t="s">
        <v>50</v>
      </c>
      <c r="B226">
        <v>2019</v>
      </c>
      <c r="C226">
        <v>23.46</v>
      </c>
      <c r="D226" t="s">
        <v>20</v>
      </c>
    </row>
    <row r="227" spans="1:4" x14ac:dyDescent="0.35">
      <c r="A227" t="s">
        <v>50</v>
      </c>
      <c r="B227">
        <v>2020</v>
      </c>
      <c r="C227">
        <v>32.79</v>
      </c>
      <c r="D227" t="s">
        <v>20</v>
      </c>
    </row>
    <row r="228" spans="1:4" x14ac:dyDescent="0.35">
      <c r="A228" t="s">
        <v>50</v>
      </c>
      <c r="B228">
        <v>2021</v>
      </c>
      <c r="C228">
        <v>15.89</v>
      </c>
      <c r="D228" t="s">
        <v>20</v>
      </c>
    </row>
    <row r="229" spans="1:4" x14ac:dyDescent="0.35">
      <c r="A229" t="s">
        <v>50</v>
      </c>
      <c r="B229">
        <v>2022</v>
      </c>
      <c r="C229">
        <v>18.75</v>
      </c>
      <c r="D229" t="s">
        <v>20</v>
      </c>
    </row>
    <row r="230" spans="1:4" x14ac:dyDescent="0.35">
      <c r="A230" t="s">
        <v>50</v>
      </c>
      <c r="B230">
        <v>2023</v>
      </c>
      <c r="C230">
        <v>11.24</v>
      </c>
      <c r="D230" t="s">
        <v>20</v>
      </c>
    </row>
    <row r="231" spans="1:4" x14ac:dyDescent="0.35">
      <c r="A231" t="s">
        <v>50</v>
      </c>
      <c r="B231">
        <v>2024</v>
      </c>
      <c r="C231">
        <v>6.3</v>
      </c>
      <c r="D231" t="s">
        <v>20</v>
      </c>
    </row>
    <row r="232" spans="1:4" x14ac:dyDescent="0.35">
      <c r="A232" t="s">
        <v>51</v>
      </c>
      <c r="B232">
        <v>2015</v>
      </c>
      <c r="C232">
        <v>3.76</v>
      </c>
      <c r="D232" t="s">
        <v>18</v>
      </c>
    </row>
    <row r="233" spans="1:4" x14ac:dyDescent="0.35">
      <c r="A233" t="s">
        <v>51</v>
      </c>
      <c r="B233">
        <v>2016</v>
      </c>
      <c r="C233">
        <v>3.9</v>
      </c>
      <c r="D233" t="s">
        <v>18</v>
      </c>
    </row>
    <row r="234" spans="1:4" x14ac:dyDescent="0.35">
      <c r="A234" t="s">
        <v>51</v>
      </c>
      <c r="B234">
        <v>2017</v>
      </c>
      <c r="C234">
        <v>4.8099999999999996</v>
      </c>
      <c r="D234" t="s">
        <v>18</v>
      </c>
    </row>
    <row r="235" spans="1:4" x14ac:dyDescent="0.35">
      <c r="A235" t="s">
        <v>51</v>
      </c>
      <c r="B235">
        <v>2018</v>
      </c>
      <c r="C235">
        <v>5.58</v>
      </c>
      <c r="D235" t="s">
        <v>18</v>
      </c>
    </row>
    <row r="236" spans="1:4" x14ac:dyDescent="0.35">
      <c r="A236" t="s">
        <v>51</v>
      </c>
      <c r="B236">
        <v>2019</v>
      </c>
      <c r="C236">
        <v>5.0599999999999996</v>
      </c>
      <c r="D236" t="s">
        <v>18</v>
      </c>
    </row>
    <row r="237" spans="1:4" x14ac:dyDescent="0.35">
      <c r="A237" t="s">
        <v>51</v>
      </c>
      <c r="B237">
        <v>2020</v>
      </c>
      <c r="C237">
        <v>9.84</v>
      </c>
      <c r="D237" t="s">
        <v>18</v>
      </c>
    </row>
    <row r="238" spans="1:4" x14ac:dyDescent="0.35">
      <c r="A238" t="s">
        <v>51</v>
      </c>
      <c r="B238">
        <v>2021</v>
      </c>
      <c r="C238">
        <v>14.1</v>
      </c>
      <c r="D238" t="s">
        <v>18</v>
      </c>
    </row>
    <row r="239" spans="1:4" x14ac:dyDescent="0.35">
      <c r="A239" t="s">
        <v>51</v>
      </c>
      <c r="B239">
        <v>2022</v>
      </c>
      <c r="C239">
        <v>16.579999999999998</v>
      </c>
      <c r="D239" t="s">
        <v>18</v>
      </c>
    </row>
    <row r="240" spans="1:4" x14ac:dyDescent="0.35">
      <c r="A240" t="s">
        <v>51</v>
      </c>
      <c r="B240">
        <v>2023</v>
      </c>
      <c r="C240">
        <v>16.309999999999999</v>
      </c>
      <c r="D240" t="s">
        <v>18</v>
      </c>
    </row>
    <row r="241" spans="1:4" x14ac:dyDescent="0.35">
      <c r="A241" t="s">
        <v>51</v>
      </c>
      <c r="B241">
        <v>2024</v>
      </c>
      <c r="C241">
        <v>16.12</v>
      </c>
      <c r="D241" t="s">
        <v>18</v>
      </c>
    </row>
    <row r="242" spans="1:4" x14ac:dyDescent="0.35">
      <c r="A242" t="s">
        <v>52</v>
      </c>
      <c r="B242">
        <v>2015</v>
      </c>
      <c r="C242">
        <v>37.17</v>
      </c>
      <c r="D242" t="s">
        <v>18</v>
      </c>
    </row>
    <row r="243" spans="1:4" x14ac:dyDescent="0.35">
      <c r="A243" t="s">
        <v>52</v>
      </c>
      <c r="B243">
        <v>2017</v>
      </c>
      <c r="C243">
        <v>83.92</v>
      </c>
      <c r="D243" t="s">
        <v>18</v>
      </c>
    </row>
    <row r="244" spans="1:4" x14ac:dyDescent="0.35">
      <c r="A244" t="s">
        <v>52</v>
      </c>
      <c r="B244">
        <v>2018</v>
      </c>
      <c r="C244">
        <v>100.9</v>
      </c>
      <c r="D244" t="s">
        <v>18</v>
      </c>
    </row>
    <row r="245" spans="1:4" x14ac:dyDescent="0.35">
      <c r="A245" t="s">
        <v>52</v>
      </c>
      <c r="B245">
        <v>2019</v>
      </c>
      <c r="C245">
        <v>96.46</v>
      </c>
      <c r="D245" t="s">
        <v>18</v>
      </c>
    </row>
    <row r="246" spans="1:4" x14ac:dyDescent="0.35">
      <c r="A246" t="s">
        <v>52</v>
      </c>
      <c r="B246">
        <v>2020</v>
      </c>
      <c r="C246">
        <v>99.44</v>
      </c>
      <c r="D246" t="s">
        <v>18</v>
      </c>
    </row>
    <row r="247" spans="1:4" x14ac:dyDescent="0.35">
      <c r="A247" t="s">
        <v>52</v>
      </c>
      <c r="B247">
        <v>2021</v>
      </c>
      <c r="C247">
        <v>101.47</v>
      </c>
      <c r="D247" t="s">
        <v>18</v>
      </c>
    </row>
    <row r="248" spans="1:4" x14ac:dyDescent="0.35">
      <c r="A248" t="s">
        <v>52</v>
      </c>
      <c r="B248">
        <v>2022</v>
      </c>
      <c r="C248">
        <v>129.86000000000001</v>
      </c>
      <c r="D248" t="s">
        <v>18</v>
      </c>
    </row>
    <row r="249" spans="1:4" x14ac:dyDescent="0.35">
      <c r="A249" t="s">
        <v>52</v>
      </c>
      <c r="B249">
        <v>2023</v>
      </c>
      <c r="C249">
        <v>130.81</v>
      </c>
      <c r="D249" t="s">
        <v>18</v>
      </c>
    </row>
    <row r="250" spans="1:4" x14ac:dyDescent="0.35">
      <c r="A250" t="s">
        <v>52</v>
      </c>
      <c r="B250">
        <v>2024</v>
      </c>
      <c r="C250">
        <v>132.12</v>
      </c>
      <c r="D250" t="s">
        <v>18</v>
      </c>
    </row>
    <row r="251" spans="1:4" x14ac:dyDescent="0.35">
      <c r="A251" t="s">
        <v>53</v>
      </c>
      <c r="B251">
        <v>2021</v>
      </c>
      <c r="C251">
        <v>40.119999999999997</v>
      </c>
      <c r="D251" t="s">
        <v>18</v>
      </c>
    </row>
    <row r="252" spans="1:4" x14ac:dyDescent="0.35">
      <c r="A252" t="s">
        <v>53</v>
      </c>
      <c r="B252">
        <v>2022</v>
      </c>
      <c r="C252">
        <v>41.76</v>
      </c>
      <c r="D252" t="s">
        <v>18</v>
      </c>
    </row>
    <row r="253" spans="1:4" x14ac:dyDescent="0.35">
      <c r="A253" t="s">
        <v>53</v>
      </c>
      <c r="B253">
        <v>2023</v>
      </c>
      <c r="C253">
        <v>46.56</v>
      </c>
      <c r="D253" t="s">
        <v>18</v>
      </c>
    </row>
    <row r="254" spans="1:4" x14ac:dyDescent="0.35">
      <c r="A254" t="s">
        <v>53</v>
      </c>
      <c r="B254">
        <v>2024</v>
      </c>
      <c r="C254">
        <v>51.44</v>
      </c>
      <c r="D254" t="s">
        <v>18</v>
      </c>
    </row>
    <row r="255" spans="1:4" x14ac:dyDescent="0.35">
      <c r="A255" t="s">
        <v>54</v>
      </c>
      <c r="B255">
        <v>2020</v>
      </c>
      <c r="C255">
        <v>8.1999999999999993</v>
      </c>
      <c r="D255" t="s">
        <v>20</v>
      </c>
    </row>
    <row r="256" spans="1:4" x14ac:dyDescent="0.35">
      <c r="A256" t="s">
        <v>54</v>
      </c>
      <c r="B256">
        <v>2021</v>
      </c>
      <c r="C256">
        <v>6.5</v>
      </c>
      <c r="D256" t="s">
        <v>20</v>
      </c>
    </row>
    <row r="257" spans="1:4" x14ac:dyDescent="0.35">
      <c r="A257" t="s">
        <v>54</v>
      </c>
      <c r="B257">
        <v>2022</v>
      </c>
      <c r="C257">
        <v>0.5</v>
      </c>
      <c r="D257" t="s">
        <v>20</v>
      </c>
    </row>
    <row r="258" spans="1:4" x14ac:dyDescent="0.35">
      <c r="A258" t="s">
        <v>54</v>
      </c>
      <c r="B258">
        <v>2023</v>
      </c>
      <c r="C258">
        <v>12.05</v>
      </c>
      <c r="D258" t="s">
        <v>20</v>
      </c>
    </row>
    <row r="259" spans="1:4" x14ac:dyDescent="0.35">
      <c r="A259" t="s">
        <v>54</v>
      </c>
      <c r="B259">
        <v>2024</v>
      </c>
      <c r="C259">
        <v>2.25</v>
      </c>
      <c r="D259" t="s">
        <v>20</v>
      </c>
    </row>
    <row r="260" spans="1:4" x14ac:dyDescent="0.35">
      <c r="A260" t="s">
        <v>55</v>
      </c>
      <c r="B260">
        <v>2016</v>
      </c>
      <c r="C260">
        <v>2.16</v>
      </c>
      <c r="D260" t="s">
        <v>18</v>
      </c>
    </row>
    <row r="261" spans="1:4" x14ac:dyDescent="0.35">
      <c r="A261" t="s">
        <v>55</v>
      </c>
      <c r="B261">
        <v>2017</v>
      </c>
      <c r="C261">
        <v>2.06</v>
      </c>
      <c r="D261" t="s">
        <v>18</v>
      </c>
    </row>
    <row r="262" spans="1:4" x14ac:dyDescent="0.35">
      <c r="A262" t="s">
        <v>55</v>
      </c>
      <c r="B262">
        <v>2018</v>
      </c>
      <c r="C262">
        <v>2.2599999999999998</v>
      </c>
      <c r="D262" t="s">
        <v>18</v>
      </c>
    </row>
    <row r="263" spans="1:4" x14ac:dyDescent="0.35">
      <c r="A263" t="s">
        <v>55</v>
      </c>
      <c r="B263">
        <v>2019</v>
      </c>
      <c r="C263">
        <v>2.25</v>
      </c>
      <c r="D263" t="s">
        <v>18</v>
      </c>
    </row>
    <row r="264" spans="1:4" x14ac:dyDescent="0.35">
      <c r="A264" t="s">
        <v>55</v>
      </c>
      <c r="B264">
        <v>2020</v>
      </c>
      <c r="C264">
        <v>1.82</v>
      </c>
      <c r="D264" t="s">
        <v>18</v>
      </c>
    </row>
    <row r="265" spans="1:4" x14ac:dyDescent="0.35">
      <c r="A265" t="s">
        <v>55</v>
      </c>
      <c r="B265">
        <v>2021</v>
      </c>
      <c r="C265">
        <v>4.18</v>
      </c>
      <c r="D265" t="s">
        <v>18</v>
      </c>
    </row>
    <row r="266" spans="1:4" x14ac:dyDescent="0.35">
      <c r="A266" t="s">
        <v>55</v>
      </c>
      <c r="B266">
        <v>2022</v>
      </c>
      <c r="C266">
        <v>2.4900000000000002</v>
      </c>
      <c r="D266" t="s">
        <v>18</v>
      </c>
    </row>
    <row r="267" spans="1:4" x14ac:dyDescent="0.35">
      <c r="A267" t="s">
        <v>55</v>
      </c>
      <c r="B267">
        <v>2023</v>
      </c>
      <c r="C267">
        <v>2.95</v>
      </c>
      <c r="D267" t="s">
        <v>18</v>
      </c>
    </row>
    <row r="268" spans="1:4" x14ac:dyDescent="0.35">
      <c r="A268" t="s">
        <v>55</v>
      </c>
      <c r="B268">
        <v>2024</v>
      </c>
      <c r="C268">
        <v>2.98</v>
      </c>
      <c r="D268" t="s">
        <v>18</v>
      </c>
    </row>
    <row r="269" spans="1:4" x14ac:dyDescent="0.35">
      <c r="A269" t="s">
        <v>56</v>
      </c>
      <c r="B269">
        <v>2024</v>
      </c>
      <c r="C269">
        <v>25.8</v>
      </c>
      <c r="D269" t="s">
        <v>20</v>
      </c>
    </row>
    <row r="270" spans="1:4" x14ac:dyDescent="0.35">
      <c r="A270" t="s">
        <v>57</v>
      </c>
      <c r="B270">
        <v>2021</v>
      </c>
      <c r="C270">
        <v>35.24</v>
      </c>
      <c r="D270" t="s">
        <v>18</v>
      </c>
    </row>
    <row r="271" spans="1:4" x14ac:dyDescent="0.35">
      <c r="A271" t="s">
        <v>57</v>
      </c>
      <c r="B271">
        <v>2022</v>
      </c>
      <c r="C271">
        <v>46.14</v>
      </c>
      <c r="D271" t="s">
        <v>18</v>
      </c>
    </row>
    <row r="272" spans="1:4" x14ac:dyDescent="0.35">
      <c r="A272" t="s">
        <v>57</v>
      </c>
      <c r="B272">
        <v>2023</v>
      </c>
      <c r="C272">
        <v>39.33</v>
      </c>
      <c r="D272" t="s">
        <v>18</v>
      </c>
    </row>
    <row r="273" spans="1:4" x14ac:dyDescent="0.35">
      <c r="A273" t="s">
        <v>57</v>
      </c>
      <c r="B273">
        <v>2024</v>
      </c>
      <c r="C273">
        <v>45.42</v>
      </c>
      <c r="D273" t="s">
        <v>18</v>
      </c>
    </row>
    <row r="274" spans="1:4" x14ac:dyDescent="0.35">
      <c r="A274" t="s">
        <v>58</v>
      </c>
      <c r="B274">
        <v>2020</v>
      </c>
      <c r="C274">
        <v>21.1</v>
      </c>
      <c r="D274" t="s">
        <v>18</v>
      </c>
    </row>
    <row r="275" spans="1:4" x14ac:dyDescent="0.35">
      <c r="A275" t="s">
        <v>58</v>
      </c>
      <c r="B275">
        <v>2021</v>
      </c>
      <c r="C275">
        <v>31.83</v>
      </c>
      <c r="D275" t="s">
        <v>18</v>
      </c>
    </row>
    <row r="276" spans="1:4" x14ac:dyDescent="0.35">
      <c r="A276" t="s">
        <v>58</v>
      </c>
      <c r="B276">
        <v>2022</v>
      </c>
      <c r="C276">
        <v>39.96</v>
      </c>
      <c r="D276" t="s">
        <v>18</v>
      </c>
    </row>
    <row r="277" spans="1:4" x14ac:dyDescent="0.35">
      <c r="A277" t="s">
        <v>58</v>
      </c>
      <c r="B277">
        <v>2022</v>
      </c>
      <c r="C277">
        <v>39.96</v>
      </c>
      <c r="D277" t="s">
        <v>20</v>
      </c>
    </row>
    <row r="278" spans="1:4" x14ac:dyDescent="0.35">
      <c r="A278" t="s">
        <v>58</v>
      </c>
      <c r="B278">
        <v>2023</v>
      </c>
      <c r="C278">
        <v>48.03</v>
      </c>
      <c r="D278" t="s">
        <v>18</v>
      </c>
    </row>
    <row r="279" spans="1:4" x14ac:dyDescent="0.35">
      <c r="A279" t="s">
        <v>58</v>
      </c>
      <c r="B279">
        <v>2023</v>
      </c>
      <c r="C279">
        <v>48.03</v>
      </c>
      <c r="D279" t="s">
        <v>20</v>
      </c>
    </row>
    <row r="280" spans="1:4" x14ac:dyDescent="0.35">
      <c r="A280" t="s">
        <v>58</v>
      </c>
      <c r="B280">
        <v>2024</v>
      </c>
      <c r="C280">
        <v>58.94</v>
      </c>
      <c r="D280" t="s">
        <v>20</v>
      </c>
    </row>
    <row r="281" spans="1:4" x14ac:dyDescent="0.35">
      <c r="A281" t="s">
        <v>59</v>
      </c>
      <c r="B281">
        <v>2015</v>
      </c>
      <c r="C281">
        <v>4.93</v>
      </c>
      <c r="D281" t="s">
        <v>20</v>
      </c>
    </row>
    <row r="282" spans="1:4" x14ac:dyDescent="0.35">
      <c r="A282" t="s">
        <v>59</v>
      </c>
      <c r="B282">
        <v>2016</v>
      </c>
      <c r="C282">
        <v>13.03</v>
      </c>
      <c r="D282" t="s">
        <v>20</v>
      </c>
    </row>
    <row r="283" spans="1:4" x14ac:dyDescent="0.35">
      <c r="A283" t="s">
        <v>59</v>
      </c>
      <c r="B283">
        <v>2017</v>
      </c>
      <c r="C283">
        <v>12.51</v>
      </c>
      <c r="D283" t="s">
        <v>20</v>
      </c>
    </row>
    <row r="284" spans="1:4" x14ac:dyDescent="0.35">
      <c r="A284" t="s">
        <v>59</v>
      </c>
      <c r="B284">
        <v>2018</v>
      </c>
      <c r="C284">
        <v>15.22</v>
      </c>
      <c r="D284" t="s">
        <v>20</v>
      </c>
    </row>
    <row r="285" spans="1:4" x14ac:dyDescent="0.35">
      <c r="A285" t="s">
        <v>59</v>
      </c>
      <c r="B285">
        <v>2019</v>
      </c>
      <c r="C285">
        <v>17.53</v>
      </c>
      <c r="D285" t="s">
        <v>20</v>
      </c>
    </row>
    <row r="286" spans="1:4" x14ac:dyDescent="0.35">
      <c r="A286" t="s">
        <v>59</v>
      </c>
      <c r="B286">
        <v>2020</v>
      </c>
      <c r="C286">
        <v>14.3</v>
      </c>
      <c r="D286" t="s">
        <v>20</v>
      </c>
    </row>
    <row r="287" spans="1:4" x14ac:dyDescent="0.35">
      <c r="A287" t="s">
        <v>59</v>
      </c>
      <c r="B287">
        <v>2021</v>
      </c>
      <c r="C287">
        <v>25.76</v>
      </c>
      <c r="D287" t="s">
        <v>20</v>
      </c>
    </row>
    <row r="288" spans="1:4" x14ac:dyDescent="0.35">
      <c r="A288" t="s">
        <v>59</v>
      </c>
      <c r="B288">
        <v>2022</v>
      </c>
      <c r="C288">
        <v>52.62</v>
      </c>
      <c r="D288" t="s">
        <v>20</v>
      </c>
    </row>
    <row r="289" spans="1:4" x14ac:dyDescent="0.35">
      <c r="A289" t="s">
        <v>59</v>
      </c>
      <c r="B289">
        <v>2023</v>
      </c>
      <c r="C289">
        <v>34.200000000000003</v>
      </c>
      <c r="D289" t="s">
        <v>20</v>
      </c>
    </row>
    <row r="290" spans="1:4" x14ac:dyDescent="0.35">
      <c r="A290" t="s">
        <v>59</v>
      </c>
      <c r="B290">
        <v>2024</v>
      </c>
      <c r="C290">
        <v>35.1</v>
      </c>
      <c r="D290" t="s">
        <v>20</v>
      </c>
    </row>
    <row r="291" spans="1:4" x14ac:dyDescent="0.35">
      <c r="A291" t="s">
        <v>60</v>
      </c>
      <c r="B291">
        <v>2019</v>
      </c>
      <c r="C291">
        <v>15</v>
      </c>
      <c r="D291" t="s">
        <v>18</v>
      </c>
    </row>
    <row r="292" spans="1:4" x14ac:dyDescent="0.35">
      <c r="A292" t="s">
        <v>60</v>
      </c>
      <c r="B292">
        <v>2020</v>
      </c>
      <c r="C292">
        <v>14.07</v>
      </c>
      <c r="D292" t="s">
        <v>18</v>
      </c>
    </row>
    <row r="293" spans="1:4" x14ac:dyDescent="0.35">
      <c r="A293" t="s">
        <v>60</v>
      </c>
      <c r="B293">
        <v>2021</v>
      </c>
      <c r="C293">
        <v>23.88</v>
      </c>
      <c r="D293" t="s">
        <v>18</v>
      </c>
    </row>
    <row r="294" spans="1:4" x14ac:dyDescent="0.35">
      <c r="A294" t="s">
        <v>60</v>
      </c>
      <c r="B294">
        <v>2021</v>
      </c>
      <c r="C294">
        <v>23.88</v>
      </c>
      <c r="D294" t="s">
        <v>20</v>
      </c>
    </row>
    <row r="295" spans="1:4" x14ac:dyDescent="0.35">
      <c r="A295" t="s">
        <v>60</v>
      </c>
      <c r="B295">
        <v>2022</v>
      </c>
      <c r="C295">
        <v>39.96</v>
      </c>
      <c r="D295" t="s">
        <v>18</v>
      </c>
    </row>
    <row r="296" spans="1:4" x14ac:dyDescent="0.35">
      <c r="A296" t="s">
        <v>60</v>
      </c>
      <c r="B296">
        <v>2022</v>
      </c>
      <c r="C296">
        <v>39.96</v>
      </c>
      <c r="D296" t="s">
        <v>20</v>
      </c>
    </row>
    <row r="297" spans="1:4" x14ac:dyDescent="0.35">
      <c r="A297" t="s">
        <v>60</v>
      </c>
      <c r="B297">
        <v>2023</v>
      </c>
      <c r="C297">
        <v>48.03</v>
      </c>
      <c r="D297" t="s">
        <v>18</v>
      </c>
    </row>
    <row r="298" spans="1:4" x14ac:dyDescent="0.35">
      <c r="A298" t="s">
        <v>60</v>
      </c>
      <c r="B298">
        <v>2023</v>
      </c>
      <c r="C298">
        <v>48.03</v>
      </c>
      <c r="D298" t="s">
        <v>20</v>
      </c>
    </row>
    <row r="299" spans="1:4" x14ac:dyDescent="0.35">
      <c r="A299" t="s">
        <v>60</v>
      </c>
      <c r="B299">
        <v>2024</v>
      </c>
      <c r="C299">
        <v>58.94</v>
      </c>
      <c r="D299" t="s">
        <v>20</v>
      </c>
    </row>
    <row r="300" spans="1:4" x14ac:dyDescent="0.35">
      <c r="A300" t="s">
        <v>61</v>
      </c>
      <c r="B300">
        <v>2020</v>
      </c>
      <c r="C300">
        <v>14.07</v>
      </c>
      <c r="D300" t="s">
        <v>18</v>
      </c>
    </row>
    <row r="301" spans="1:4" x14ac:dyDescent="0.35">
      <c r="A301" t="s">
        <v>61</v>
      </c>
      <c r="B301">
        <v>2021</v>
      </c>
      <c r="C301">
        <v>23.88</v>
      </c>
      <c r="D301" t="s">
        <v>18</v>
      </c>
    </row>
    <row r="302" spans="1:4" x14ac:dyDescent="0.35">
      <c r="A302" t="s">
        <v>61</v>
      </c>
      <c r="B302">
        <v>2022</v>
      </c>
      <c r="C302">
        <v>31.97</v>
      </c>
      <c r="D302" t="s">
        <v>18</v>
      </c>
    </row>
    <row r="303" spans="1:4" x14ac:dyDescent="0.35">
      <c r="A303" t="s">
        <v>61</v>
      </c>
      <c r="B303">
        <v>2023</v>
      </c>
      <c r="C303">
        <v>48.03</v>
      </c>
      <c r="D303" t="s">
        <v>18</v>
      </c>
    </row>
    <row r="304" spans="1:4" x14ac:dyDescent="0.35">
      <c r="A304" t="s">
        <v>61</v>
      </c>
      <c r="B304">
        <v>2024</v>
      </c>
      <c r="C304">
        <v>58.94</v>
      </c>
      <c r="D304" t="s">
        <v>18</v>
      </c>
    </row>
    <row r="305" spans="1:4" x14ac:dyDescent="0.35">
      <c r="A305" t="s">
        <v>62</v>
      </c>
      <c r="B305">
        <v>2015</v>
      </c>
      <c r="C305">
        <v>63.24</v>
      </c>
      <c r="D305" t="s">
        <v>18</v>
      </c>
    </row>
    <row r="306" spans="1:4" x14ac:dyDescent="0.35">
      <c r="A306" t="s">
        <v>62</v>
      </c>
      <c r="B306">
        <v>2016</v>
      </c>
      <c r="C306">
        <v>62.08</v>
      </c>
      <c r="D306" t="s">
        <v>18</v>
      </c>
    </row>
    <row r="307" spans="1:4" x14ac:dyDescent="0.35">
      <c r="A307" t="s">
        <v>62</v>
      </c>
      <c r="B307">
        <v>2017</v>
      </c>
      <c r="C307">
        <v>63.94</v>
      </c>
      <c r="D307" t="s">
        <v>18</v>
      </c>
    </row>
    <row r="308" spans="1:4" x14ac:dyDescent="0.35">
      <c r="A308" t="s">
        <v>62</v>
      </c>
      <c r="B308">
        <v>2018</v>
      </c>
      <c r="C308">
        <v>74.45</v>
      </c>
      <c r="D308" t="s">
        <v>18</v>
      </c>
    </row>
    <row r="309" spans="1:4" x14ac:dyDescent="0.35">
      <c r="A309" t="s">
        <v>62</v>
      </c>
      <c r="B309">
        <v>2019</v>
      </c>
      <c r="C309">
        <v>67.150000000000006</v>
      </c>
      <c r="D309" t="s">
        <v>18</v>
      </c>
    </row>
    <row r="310" spans="1:4" x14ac:dyDescent="0.35">
      <c r="A310" t="s">
        <v>62</v>
      </c>
      <c r="B310">
        <v>2020</v>
      </c>
      <c r="C310">
        <v>58.94</v>
      </c>
      <c r="D310" t="s">
        <v>18</v>
      </c>
    </row>
    <row r="311" spans="1:4" x14ac:dyDescent="0.35">
      <c r="A311" t="s">
        <v>62</v>
      </c>
      <c r="B311">
        <v>2021</v>
      </c>
      <c r="C311">
        <v>60.76</v>
      </c>
      <c r="D311" t="s">
        <v>18</v>
      </c>
    </row>
    <row r="312" spans="1:4" x14ac:dyDescent="0.35">
      <c r="A312" t="s">
        <v>62</v>
      </c>
      <c r="B312">
        <v>2022</v>
      </c>
      <c r="C312">
        <v>54.27</v>
      </c>
      <c r="D312" t="s">
        <v>18</v>
      </c>
    </row>
    <row r="313" spans="1:4" x14ac:dyDescent="0.35">
      <c r="A313" t="s">
        <v>62</v>
      </c>
      <c r="B313">
        <v>2023</v>
      </c>
      <c r="C313">
        <v>50.14</v>
      </c>
      <c r="D313" t="s">
        <v>18</v>
      </c>
    </row>
    <row r="314" spans="1:4" x14ac:dyDescent="0.35">
      <c r="A314" t="s">
        <v>62</v>
      </c>
      <c r="B314">
        <v>2024</v>
      </c>
      <c r="C314">
        <v>66.930000000000007</v>
      </c>
      <c r="D314" t="s">
        <v>18</v>
      </c>
    </row>
    <row r="315" spans="1:4" x14ac:dyDescent="0.35">
      <c r="A315" t="s">
        <v>63</v>
      </c>
      <c r="B315">
        <v>2021</v>
      </c>
      <c r="C315">
        <v>19.66</v>
      </c>
      <c r="D315" t="s">
        <v>20</v>
      </c>
    </row>
    <row r="316" spans="1:4" x14ac:dyDescent="0.35">
      <c r="A316" t="s">
        <v>63</v>
      </c>
      <c r="B316">
        <v>2022</v>
      </c>
      <c r="C316">
        <v>23.1</v>
      </c>
      <c r="D316" t="s">
        <v>20</v>
      </c>
    </row>
    <row r="317" spans="1:4" x14ac:dyDescent="0.35">
      <c r="A317" t="s">
        <v>63</v>
      </c>
      <c r="B317">
        <v>2023</v>
      </c>
      <c r="C317">
        <v>20.87</v>
      </c>
      <c r="D317" t="s">
        <v>20</v>
      </c>
    </row>
    <row r="318" spans="1:4" x14ac:dyDescent="0.35">
      <c r="A318" t="s">
        <v>63</v>
      </c>
      <c r="B318">
        <v>2024</v>
      </c>
      <c r="C318">
        <v>58.94</v>
      </c>
      <c r="D318" t="s">
        <v>20</v>
      </c>
    </row>
    <row r="319" spans="1:4" x14ac:dyDescent="0.35">
      <c r="A319" t="s">
        <v>64</v>
      </c>
      <c r="B319">
        <v>2017</v>
      </c>
      <c r="C319">
        <v>14.06</v>
      </c>
      <c r="D319" t="s">
        <v>20</v>
      </c>
    </row>
    <row r="320" spans="1:4" x14ac:dyDescent="0.35">
      <c r="A320" t="s">
        <v>64</v>
      </c>
      <c r="B320">
        <v>2018</v>
      </c>
      <c r="C320">
        <v>11.7</v>
      </c>
      <c r="D320" t="s">
        <v>20</v>
      </c>
    </row>
    <row r="321" spans="1:4" x14ac:dyDescent="0.35">
      <c r="A321" t="s">
        <v>64</v>
      </c>
      <c r="B321">
        <v>2022</v>
      </c>
      <c r="C321">
        <v>31.97</v>
      </c>
      <c r="D321" t="s">
        <v>20</v>
      </c>
    </row>
    <row r="322" spans="1:4" x14ac:dyDescent="0.35">
      <c r="A322" t="s">
        <v>64</v>
      </c>
      <c r="B322">
        <v>2023</v>
      </c>
      <c r="C322">
        <v>48.03</v>
      </c>
      <c r="D322" t="s">
        <v>20</v>
      </c>
    </row>
    <row r="323" spans="1:4" x14ac:dyDescent="0.35">
      <c r="A323" t="s">
        <v>64</v>
      </c>
      <c r="B323">
        <v>2024</v>
      </c>
      <c r="C323">
        <v>58.94</v>
      </c>
      <c r="D323" t="s">
        <v>20</v>
      </c>
    </row>
    <row r="324" spans="1:4" x14ac:dyDescent="0.35">
      <c r="A324" t="s">
        <v>65</v>
      </c>
      <c r="B324">
        <v>2015</v>
      </c>
      <c r="C324">
        <v>3.88</v>
      </c>
      <c r="D324" t="s">
        <v>18</v>
      </c>
    </row>
    <row r="325" spans="1:4" x14ac:dyDescent="0.35">
      <c r="A325" t="s">
        <v>65</v>
      </c>
      <c r="B325">
        <v>2016</v>
      </c>
      <c r="C325">
        <v>3.96</v>
      </c>
      <c r="D325" t="s">
        <v>18</v>
      </c>
    </row>
    <row r="326" spans="1:4" x14ac:dyDescent="0.35">
      <c r="A326" t="s">
        <v>65</v>
      </c>
      <c r="B326">
        <v>2017</v>
      </c>
      <c r="C326">
        <v>2.99</v>
      </c>
      <c r="D326" t="s">
        <v>18</v>
      </c>
    </row>
    <row r="327" spans="1:4" x14ac:dyDescent="0.35">
      <c r="A327" t="s">
        <v>65</v>
      </c>
      <c r="B327">
        <v>2018</v>
      </c>
      <c r="C327">
        <v>3.48</v>
      </c>
      <c r="D327" t="s">
        <v>18</v>
      </c>
    </row>
    <row r="328" spans="1:4" x14ac:dyDescent="0.35">
      <c r="A328" t="s">
        <v>65</v>
      </c>
      <c r="B328">
        <v>2019</v>
      </c>
      <c r="C328">
        <v>3.15</v>
      </c>
      <c r="D328" t="s">
        <v>18</v>
      </c>
    </row>
    <row r="329" spans="1:4" x14ac:dyDescent="0.35">
      <c r="A329" t="s">
        <v>65</v>
      </c>
      <c r="B329">
        <v>2020</v>
      </c>
      <c r="C329">
        <v>2.93</v>
      </c>
      <c r="D329" t="s">
        <v>18</v>
      </c>
    </row>
    <row r="330" spans="1:4" x14ac:dyDescent="0.35">
      <c r="A330" t="s">
        <v>65</v>
      </c>
      <c r="B330">
        <v>2021</v>
      </c>
      <c r="C330">
        <v>3.17</v>
      </c>
      <c r="D330" t="s">
        <v>18</v>
      </c>
    </row>
    <row r="331" spans="1:4" x14ac:dyDescent="0.35">
      <c r="A331" t="s">
        <v>65</v>
      </c>
      <c r="B331">
        <v>2022</v>
      </c>
      <c r="C331">
        <v>3.08</v>
      </c>
      <c r="D331" t="s">
        <v>18</v>
      </c>
    </row>
    <row r="332" spans="1:4" x14ac:dyDescent="0.35">
      <c r="A332" t="s">
        <v>65</v>
      </c>
      <c r="B332">
        <v>2023</v>
      </c>
      <c r="C332">
        <v>3.17</v>
      </c>
      <c r="D332" t="s">
        <v>18</v>
      </c>
    </row>
    <row r="333" spans="1:4" x14ac:dyDescent="0.35">
      <c r="A333" t="s">
        <v>66</v>
      </c>
      <c r="B333">
        <v>2015</v>
      </c>
      <c r="C333">
        <v>4.5</v>
      </c>
      <c r="D333" t="s">
        <v>18</v>
      </c>
    </row>
    <row r="334" spans="1:4" x14ac:dyDescent="0.35">
      <c r="A334" t="s">
        <v>66</v>
      </c>
      <c r="B334">
        <v>2016</v>
      </c>
      <c r="C334">
        <v>7.26</v>
      </c>
      <c r="D334" t="s">
        <v>18</v>
      </c>
    </row>
    <row r="335" spans="1:4" x14ac:dyDescent="0.35">
      <c r="A335" t="s">
        <v>66</v>
      </c>
      <c r="B335">
        <v>2017</v>
      </c>
      <c r="C335">
        <v>6.97</v>
      </c>
      <c r="D335" t="s">
        <v>18</v>
      </c>
    </row>
    <row r="336" spans="1:4" x14ac:dyDescent="0.35">
      <c r="A336" t="s">
        <v>66</v>
      </c>
      <c r="B336">
        <v>2018</v>
      </c>
      <c r="C336">
        <v>6.86</v>
      </c>
      <c r="D336" t="s">
        <v>18</v>
      </c>
    </row>
    <row r="337" spans="1:4" x14ac:dyDescent="0.35">
      <c r="A337" t="s">
        <v>66</v>
      </c>
      <c r="B337">
        <v>2019</v>
      </c>
      <c r="C337">
        <v>12.78</v>
      </c>
      <c r="D337" t="s">
        <v>18</v>
      </c>
    </row>
    <row r="338" spans="1:4" x14ac:dyDescent="0.35">
      <c r="A338" t="s">
        <v>66</v>
      </c>
      <c r="B338">
        <v>2020</v>
      </c>
      <c r="C338">
        <v>37.270000000000003</v>
      </c>
      <c r="D338" t="s">
        <v>18</v>
      </c>
    </row>
    <row r="339" spans="1:4" x14ac:dyDescent="0.35">
      <c r="A339" t="s">
        <v>66</v>
      </c>
      <c r="B339">
        <v>2021</v>
      </c>
      <c r="C339">
        <v>27.99</v>
      </c>
      <c r="D339" t="s">
        <v>18</v>
      </c>
    </row>
    <row r="340" spans="1:4" x14ac:dyDescent="0.35">
      <c r="A340" t="s">
        <v>66</v>
      </c>
      <c r="B340">
        <v>2022</v>
      </c>
      <c r="C340">
        <v>26.34</v>
      </c>
      <c r="D340" t="s">
        <v>18</v>
      </c>
    </row>
    <row r="341" spans="1:4" x14ac:dyDescent="0.35">
      <c r="A341" t="s">
        <v>66</v>
      </c>
      <c r="B341">
        <v>2023</v>
      </c>
      <c r="C341">
        <v>25.92</v>
      </c>
      <c r="D341" t="s">
        <v>18</v>
      </c>
    </row>
    <row r="342" spans="1:4" x14ac:dyDescent="0.35">
      <c r="A342" t="s">
        <v>67</v>
      </c>
      <c r="B342">
        <v>2019</v>
      </c>
      <c r="C342">
        <v>15</v>
      </c>
      <c r="D342" t="s">
        <v>18</v>
      </c>
    </row>
    <row r="343" spans="1:4" x14ac:dyDescent="0.35">
      <c r="A343" t="s">
        <v>67</v>
      </c>
      <c r="B343">
        <v>2020</v>
      </c>
      <c r="C343">
        <v>21.1</v>
      </c>
      <c r="D343" t="s">
        <v>18</v>
      </c>
    </row>
    <row r="344" spans="1:4" x14ac:dyDescent="0.35">
      <c r="A344" t="s">
        <v>67</v>
      </c>
      <c r="B344">
        <v>2021</v>
      </c>
      <c r="C344">
        <v>23.88</v>
      </c>
      <c r="D344" t="s">
        <v>18</v>
      </c>
    </row>
    <row r="345" spans="1:4" x14ac:dyDescent="0.35">
      <c r="A345" t="s">
        <v>67</v>
      </c>
      <c r="B345">
        <v>2022</v>
      </c>
      <c r="C345">
        <v>23.98</v>
      </c>
      <c r="D345" t="s">
        <v>18</v>
      </c>
    </row>
    <row r="346" spans="1:4" x14ac:dyDescent="0.35">
      <c r="A346" t="s">
        <v>67</v>
      </c>
      <c r="B346">
        <v>2023</v>
      </c>
      <c r="C346">
        <v>36.950000000000003</v>
      </c>
      <c r="D346" t="s">
        <v>18</v>
      </c>
    </row>
    <row r="347" spans="1:4" x14ac:dyDescent="0.35">
      <c r="A347" t="s">
        <v>68</v>
      </c>
      <c r="B347">
        <v>2015</v>
      </c>
      <c r="C347">
        <v>12.49</v>
      </c>
      <c r="D347" t="s">
        <v>20</v>
      </c>
    </row>
    <row r="348" spans="1:4" x14ac:dyDescent="0.35">
      <c r="A348" t="s">
        <v>68</v>
      </c>
      <c r="B348">
        <v>2016</v>
      </c>
      <c r="C348">
        <v>12.8</v>
      </c>
      <c r="D348" t="s">
        <v>20</v>
      </c>
    </row>
    <row r="349" spans="1:4" x14ac:dyDescent="0.35">
      <c r="A349" t="s">
        <v>68</v>
      </c>
      <c r="B349">
        <v>2017</v>
      </c>
      <c r="C349">
        <v>15.08</v>
      </c>
      <c r="D349" t="s">
        <v>20</v>
      </c>
    </row>
    <row r="350" spans="1:4" x14ac:dyDescent="0.35">
      <c r="A350" t="s">
        <v>68</v>
      </c>
      <c r="B350">
        <v>2018</v>
      </c>
      <c r="C350">
        <v>15.1</v>
      </c>
      <c r="D350" t="s">
        <v>20</v>
      </c>
    </row>
    <row r="351" spans="1:4" x14ac:dyDescent="0.35">
      <c r="A351" t="s">
        <v>68</v>
      </c>
      <c r="B351">
        <v>2019</v>
      </c>
      <c r="C351">
        <v>15.77</v>
      </c>
      <c r="D351" t="s">
        <v>20</v>
      </c>
    </row>
    <row r="352" spans="1:4" x14ac:dyDescent="0.35">
      <c r="A352" t="s">
        <v>68</v>
      </c>
      <c r="B352">
        <v>2020</v>
      </c>
      <c r="C352">
        <v>21.75</v>
      </c>
      <c r="D352" t="s">
        <v>20</v>
      </c>
    </row>
    <row r="353" spans="1:4" x14ac:dyDescent="0.35">
      <c r="A353" t="s">
        <v>68</v>
      </c>
      <c r="B353">
        <v>2021</v>
      </c>
      <c r="C353">
        <v>17.940000000000001</v>
      </c>
      <c r="D353" t="s">
        <v>20</v>
      </c>
    </row>
    <row r="354" spans="1:4" x14ac:dyDescent="0.35">
      <c r="A354" t="s">
        <v>68</v>
      </c>
      <c r="B354">
        <v>2022</v>
      </c>
      <c r="C354">
        <v>38.58</v>
      </c>
      <c r="D354" t="s">
        <v>20</v>
      </c>
    </row>
    <row r="355" spans="1:4" x14ac:dyDescent="0.35">
      <c r="A355" t="s">
        <v>68</v>
      </c>
      <c r="B355">
        <v>2023</v>
      </c>
      <c r="C355">
        <v>29.84</v>
      </c>
      <c r="D355" t="s">
        <v>20</v>
      </c>
    </row>
    <row r="356" spans="1:4" x14ac:dyDescent="0.35">
      <c r="A356" t="s">
        <v>68</v>
      </c>
      <c r="B356">
        <v>2024</v>
      </c>
      <c r="C356">
        <v>38.590000000000003</v>
      </c>
      <c r="D356" t="s">
        <v>20</v>
      </c>
    </row>
    <row r="357" spans="1:4" x14ac:dyDescent="0.35">
      <c r="A357" t="s">
        <v>69</v>
      </c>
      <c r="B357">
        <v>2023</v>
      </c>
      <c r="C357">
        <v>32.200000000000003</v>
      </c>
      <c r="D357" t="s">
        <v>18</v>
      </c>
    </row>
    <row r="358" spans="1:4" x14ac:dyDescent="0.35">
      <c r="A358" t="s">
        <v>69</v>
      </c>
      <c r="B358">
        <v>2024</v>
      </c>
      <c r="C358">
        <v>36.700000000000003</v>
      </c>
      <c r="D358" t="s">
        <v>18</v>
      </c>
    </row>
    <row r="359" spans="1:4" x14ac:dyDescent="0.35">
      <c r="A359" t="s">
        <v>70</v>
      </c>
      <c r="B359">
        <v>2015</v>
      </c>
      <c r="C359">
        <v>5.9</v>
      </c>
      <c r="D359" t="s">
        <v>20</v>
      </c>
    </row>
    <row r="360" spans="1:4" x14ac:dyDescent="0.35">
      <c r="A360" t="s">
        <v>70</v>
      </c>
      <c r="B360">
        <v>2016</v>
      </c>
      <c r="C360">
        <v>5.23</v>
      </c>
      <c r="D360" t="s">
        <v>20</v>
      </c>
    </row>
    <row r="361" spans="1:4" x14ac:dyDescent="0.35">
      <c r="A361" t="s">
        <v>70</v>
      </c>
      <c r="B361">
        <v>2017</v>
      </c>
      <c r="C361">
        <v>3.94</v>
      </c>
      <c r="D361" t="s">
        <v>20</v>
      </c>
    </row>
    <row r="362" spans="1:4" x14ac:dyDescent="0.35">
      <c r="A362" t="s">
        <v>70</v>
      </c>
      <c r="B362">
        <v>2018</v>
      </c>
      <c r="C362">
        <v>4.3</v>
      </c>
      <c r="D362" t="s">
        <v>20</v>
      </c>
    </row>
    <row r="363" spans="1:4" x14ac:dyDescent="0.35">
      <c r="A363" t="s">
        <v>70</v>
      </c>
      <c r="B363">
        <v>2019</v>
      </c>
      <c r="C363">
        <v>4.9400000000000004</v>
      </c>
      <c r="D363" t="s">
        <v>20</v>
      </c>
    </row>
    <row r="364" spans="1:4" x14ac:dyDescent="0.35">
      <c r="A364" t="s">
        <v>70</v>
      </c>
      <c r="B364">
        <v>2020</v>
      </c>
      <c r="C364">
        <v>5.13</v>
      </c>
      <c r="D364" t="s">
        <v>20</v>
      </c>
    </row>
    <row r="365" spans="1:4" x14ac:dyDescent="0.35">
      <c r="A365" t="s">
        <v>70</v>
      </c>
      <c r="B365">
        <v>2021</v>
      </c>
      <c r="C365">
        <v>8.69</v>
      </c>
      <c r="D365" t="s">
        <v>20</v>
      </c>
    </row>
    <row r="366" spans="1:4" x14ac:dyDescent="0.35">
      <c r="A366" t="s">
        <v>70</v>
      </c>
      <c r="B366">
        <v>2022</v>
      </c>
      <c r="C366">
        <v>13.89</v>
      </c>
      <c r="D366" t="s">
        <v>20</v>
      </c>
    </row>
    <row r="367" spans="1:4" x14ac:dyDescent="0.35">
      <c r="A367" t="s">
        <v>70</v>
      </c>
      <c r="B367">
        <v>2023</v>
      </c>
      <c r="C367">
        <v>15.39</v>
      </c>
      <c r="D367" t="s">
        <v>20</v>
      </c>
    </row>
    <row r="368" spans="1:4" x14ac:dyDescent="0.35">
      <c r="A368" t="s">
        <v>70</v>
      </c>
      <c r="B368">
        <v>2024</v>
      </c>
      <c r="C368">
        <v>17.64</v>
      </c>
      <c r="D368" t="s">
        <v>20</v>
      </c>
    </row>
    <row r="369" spans="1:4" x14ac:dyDescent="0.35">
      <c r="A369" t="s">
        <v>71</v>
      </c>
      <c r="B369">
        <v>2015</v>
      </c>
      <c r="C369">
        <v>37.51</v>
      </c>
      <c r="D369" t="s">
        <v>20</v>
      </c>
    </row>
    <row r="370" spans="1:4" x14ac:dyDescent="0.35">
      <c r="A370" t="s">
        <v>71</v>
      </c>
      <c r="B370">
        <v>2016</v>
      </c>
      <c r="C370">
        <v>14.64</v>
      </c>
      <c r="D370" t="s">
        <v>20</v>
      </c>
    </row>
    <row r="371" spans="1:4" x14ac:dyDescent="0.35">
      <c r="A371" t="s">
        <v>71</v>
      </c>
      <c r="B371">
        <v>2017</v>
      </c>
      <c r="C371">
        <v>13.39</v>
      </c>
      <c r="D371" t="s">
        <v>20</v>
      </c>
    </row>
    <row r="372" spans="1:4" x14ac:dyDescent="0.35">
      <c r="A372" t="s">
        <v>71</v>
      </c>
      <c r="B372">
        <v>2018</v>
      </c>
      <c r="C372">
        <v>5.69</v>
      </c>
      <c r="D372" t="s">
        <v>20</v>
      </c>
    </row>
    <row r="373" spans="1:4" x14ac:dyDescent="0.35">
      <c r="A373" t="s">
        <v>71</v>
      </c>
      <c r="B373">
        <v>2019</v>
      </c>
      <c r="C373">
        <v>5.85</v>
      </c>
      <c r="D373" t="s">
        <v>20</v>
      </c>
    </row>
    <row r="374" spans="1:4" x14ac:dyDescent="0.35">
      <c r="A374" t="s">
        <v>71</v>
      </c>
      <c r="B374">
        <v>2020</v>
      </c>
      <c r="C374">
        <v>5.58</v>
      </c>
      <c r="D374" t="s">
        <v>20</v>
      </c>
    </row>
    <row r="375" spans="1:4" x14ac:dyDescent="0.35">
      <c r="A375" t="s">
        <v>71</v>
      </c>
      <c r="B375">
        <v>2021</v>
      </c>
      <c r="C375">
        <v>5.42</v>
      </c>
      <c r="D375" t="s">
        <v>20</v>
      </c>
    </row>
    <row r="376" spans="1:4" x14ac:dyDescent="0.35">
      <c r="A376" t="s">
        <v>71</v>
      </c>
      <c r="B376">
        <v>2022</v>
      </c>
      <c r="C376">
        <v>3.84</v>
      </c>
      <c r="D376" t="s">
        <v>20</v>
      </c>
    </row>
    <row r="377" spans="1:4" x14ac:dyDescent="0.35">
      <c r="A377" t="s">
        <v>71</v>
      </c>
      <c r="B377">
        <v>2023</v>
      </c>
      <c r="C377">
        <v>1.08</v>
      </c>
      <c r="D377" t="s">
        <v>20</v>
      </c>
    </row>
    <row r="378" spans="1:4" x14ac:dyDescent="0.35">
      <c r="A378" t="s">
        <v>71</v>
      </c>
      <c r="B378">
        <v>2024</v>
      </c>
      <c r="C378">
        <v>0.95</v>
      </c>
      <c r="D378" t="s">
        <v>20</v>
      </c>
    </row>
    <row r="379" spans="1:4" x14ac:dyDescent="0.35">
      <c r="A379" t="s">
        <v>72</v>
      </c>
      <c r="B379">
        <v>2021</v>
      </c>
      <c r="C379">
        <v>31.83</v>
      </c>
      <c r="D379" t="s">
        <v>20</v>
      </c>
    </row>
    <row r="380" spans="1:4" x14ac:dyDescent="0.35">
      <c r="A380" t="s">
        <v>72</v>
      </c>
      <c r="B380">
        <v>2022</v>
      </c>
      <c r="C380">
        <v>39.96</v>
      </c>
      <c r="D380" t="s">
        <v>20</v>
      </c>
    </row>
    <row r="381" spans="1:4" x14ac:dyDescent="0.35">
      <c r="A381" t="s">
        <v>72</v>
      </c>
      <c r="B381">
        <v>2023</v>
      </c>
      <c r="C381">
        <v>48.03</v>
      </c>
      <c r="D381" t="s">
        <v>20</v>
      </c>
    </row>
    <row r="382" spans="1:4" x14ac:dyDescent="0.35">
      <c r="A382" t="s">
        <v>72</v>
      </c>
      <c r="B382">
        <v>2024</v>
      </c>
      <c r="C382">
        <v>58.94</v>
      </c>
      <c r="D382" t="s">
        <v>20</v>
      </c>
    </row>
    <row r="383" spans="1:4" x14ac:dyDescent="0.35">
      <c r="A383" t="s">
        <v>73</v>
      </c>
      <c r="B383">
        <v>2015</v>
      </c>
      <c r="C383">
        <v>4.7300000000000004</v>
      </c>
      <c r="D383" t="s">
        <v>20</v>
      </c>
    </row>
    <row r="384" spans="1:4" x14ac:dyDescent="0.35">
      <c r="A384" t="s">
        <v>73</v>
      </c>
      <c r="B384">
        <v>2016</v>
      </c>
      <c r="C384">
        <v>1.32</v>
      </c>
      <c r="D384" t="s">
        <v>20</v>
      </c>
    </row>
    <row r="385" spans="1:4" x14ac:dyDescent="0.35">
      <c r="A385" t="s">
        <v>73</v>
      </c>
      <c r="B385">
        <v>2017</v>
      </c>
      <c r="C385">
        <v>4.57</v>
      </c>
      <c r="D385" t="s">
        <v>20</v>
      </c>
    </row>
    <row r="386" spans="1:4" x14ac:dyDescent="0.35">
      <c r="A386" t="s">
        <v>73</v>
      </c>
      <c r="B386">
        <v>2018</v>
      </c>
      <c r="C386">
        <v>6.21</v>
      </c>
      <c r="D386" t="s">
        <v>20</v>
      </c>
    </row>
    <row r="387" spans="1:4" x14ac:dyDescent="0.35">
      <c r="A387" t="s">
        <v>73</v>
      </c>
      <c r="B387">
        <v>2019</v>
      </c>
      <c r="C387">
        <v>6.09</v>
      </c>
      <c r="D387" t="s">
        <v>20</v>
      </c>
    </row>
    <row r="388" spans="1:4" x14ac:dyDescent="0.35">
      <c r="A388" t="s">
        <v>73</v>
      </c>
      <c r="B388">
        <v>2020</v>
      </c>
      <c r="C388">
        <v>5.07</v>
      </c>
      <c r="D388" t="s">
        <v>20</v>
      </c>
    </row>
    <row r="389" spans="1:4" x14ac:dyDescent="0.35">
      <c r="A389" t="s">
        <v>73</v>
      </c>
      <c r="B389">
        <v>2021</v>
      </c>
      <c r="C389">
        <v>6.32</v>
      </c>
      <c r="D389" t="s">
        <v>20</v>
      </c>
    </row>
    <row r="390" spans="1:4" x14ac:dyDescent="0.35">
      <c r="A390" t="s">
        <v>73</v>
      </c>
      <c r="B390">
        <v>2022</v>
      </c>
      <c r="C390">
        <v>9.2799999999999994</v>
      </c>
      <c r="D390" t="s">
        <v>20</v>
      </c>
    </row>
    <row r="391" spans="1:4" x14ac:dyDescent="0.35">
      <c r="A391" t="s">
        <v>73</v>
      </c>
      <c r="B391">
        <v>2023</v>
      </c>
      <c r="C391">
        <v>8.7200000000000006</v>
      </c>
      <c r="D391" t="s">
        <v>20</v>
      </c>
    </row>
    <row r="392" spans="1:4" x14ac:dyDescent="0.35">
      <c r="A392" t="s">
        <v>73</v>
      </c>
      <c r="B392">
        <v>2024</v>
      </c>
      <c r="C392">
        <v>10.06</v>
      </c>
      <c r="D392" t="s">
        <v>20</v>
      </c>
    </row>
    <row r="393" spans="1:4" x14ac:dyDescent="0.35">
      <c r="A393" t="s">
        <v>74</v>
      </c>
      <c r="B393">
        <v>2015</v>
      </c>
      <c r="C393">
        <v>5.98</v>
      </c>
      <c r="D393" t="s">
        <v>20</v>
      </c>
    </row>
    <row r="394" spans="1:4" x14ac:dyDescent="0.35">
      <c r="A394" t="s">
        <v>74</v>
      </c>
      <c r="B394">
        <v>2016</v>
      </c>
      <c r="C394">
        <v>5.64</v>
      </c>
      <c r="D394" t="s">
        <v>20</v>
      </c>
    </row>
    <row r="395" spans="1:4" x14ac:dyDescent="0.35">
      <c r="A395" t="s">
        <v>74</v>
      </c>
      <c r="B395">
        <v>2017</v>
      </c>
      <c r="C395">
        <v>5.36</v>
      </c>
      <c r="D395" t="s">
        <v>20</v>
      </c>
    </row>
    <row r="396" spans="1:4" x14ac:dyDescent="0.35">
      <c r="A396" t="s">
        <v>74</v>
      </c>
      <c r="B396">
        <v>2018</v>
      </c>
      <c r="C396">
        <v>6.73</v>
      </c>
      <c r="D396" t="s">
        <v>20</v>
      </c>
    </row>
    <row r="397" spans="1:4" x14ac:dyDescent="0.35">
      <c r="A397" t="s">
        <v>74</v>
      </c>
      <c r="B397">
        <v>2019</v>
      </c>
      <c r="C397">
        <v>0.55000000000000004</v>
      </c>
      <c r="D397" t="s">
        <v>20</v>
      </c>
    </row>
    <row r="398" spans="1:4" x14ac:dyDescent="0.35">
      <c r="A398" t="s">
        <v>74</v>
      </c>
      <c r="B398">
        <v>2020</v>
      </c>
      <c r="C398">
        <v>2.38</v>
      </c>
      <c r="D398" t="s">
        <v>20</v>
      </c>
    </row>
    <row r="399" spans="1:4" x14ac:dyDescent="0.35">
      <c r="A399" t="s">
        <v>74</v>
      </c>
      <c r="B399">
        <v>2021</v>
      </c>
      <c r="C399">
        <v>1.1200000000000001</v>
      </c>
      <c r="D399" t="s">
        <v>20</v>
      </c>
    </row>
    <row r="400" spans="1:4" x14ac:dyDescent="0.35">
      <c r="A400" t="s">
        <v>74</v>
      </c>
      <c r="B400">
        <v>2022</v>
      </c>
      <c r="C400">
        <v>0.64</v>
      </c>
      <c r="D400" t="s">
        <v>20</v>
      </c>
    </row>
    <row r="401" spans="1:4" x14ac:dyDescent="0.35">
      <c r="A401" t="s">
        <v>74</v>
      </c>
      <c r="B401">
        <v>2023</v>
      </c>
      <c r="C401">
        <v>8.77</v>
      </c>
      <c r="D401" t="s">
        <v>20</v>
      </c>
    </row>
    <row r="402" spans="1:4" x14ac:dyDescent="0.35">
      <c r="A402" t="s">
        <v>74</v>
      </c>
      <c r="B402">
        <v>2024</v>
      </c>
      <c r="C402">
        <v>8.9600000000000009</v>
      </c>
      <c r="D402" t="s">
        <v>20</v>
      </c>
    </row>
    <row r="403" spans="1:4" x14ac:dyDescent="0.35">
      <c r="A403" t="s">
        <v>75</v>
      </c>
      <c r="B403">
        <v>2019</v>
      </c>
      <c r="C403">
        <v>3.69</v>
      </c>
      <c r="D403" t="s">
        <v>18</v>
      </c>
    </row>
    <row r="404" spans="1:4" x14ac:dyDescent="0.35">
      <c r="A404" t="s">
        <v>75</v>
      </c>
      <c r="B404">
        <v>2020</v>
      </c>
      <c r="C404">
        <v>3.51</v>
      </c>
      <c r="D404" t="s">
        <v>18</v>
      </c>
    </row>
    <row r="405" spans="1:4" x14ac:dyDescent="0.35">
      <c r="A405" t="s">
        <v>75</v>
      </c>
      <c r="B405">
        <v>2021</v>
      </c>
      <c r="C405">
        <v>3.71</v>
      </c>
      <c r="D405" t="s">
        <v>18</v>
      </c>
    </row>
    <row r="406" spans="1:4" x14ac:dyDescent="0.35">
      <c r="A406" t="s">
        <v>75</v>
      </c>
      <c r="B406">
        <v>2022</v>
      </c>
      <c r="C406">
        <v>3.69</v>
      </c>
      <c r="D406" t="s">
        <v>18</v>
      </c>
    </row>
    <row r="407" spans="1:4" x14ac:dyDescent="0.35">
      <c r="A407" t="s">
        <v>75</v>
      </c>
      <c r="B407">
        <v>2023</v>
      </c>
      <c r="C407">
        <v>3.77</v>
      </c>
      <c r="D407" t="s">
        <v>18</v>
      </c>
    </row>
    <row r="408" spans="1:4" x14ac:dyDescent="0.35">
      <c r="A408" t="s">
        <v>75</v>
      </c>
      <c r="B408">
        <v>2024</v>
      </c>
      <c r="C408">
        <v>18.48</v>
      </c>
      <c r="D408" t="s">
        <v>18</v>
      </c>
    </row>
    <row r="409" spans="1:4" x14ac:dyDescent="0.35">
      <c r="A409" t="s">
        <v>76</v>
      </c>
      <c r="B409">
        <v>2015</v>
      </c>
      <c r="C409">
        <v>18.579999999999998</v>
      </c>
      <c r="D409" t="s">
        <v>18</v>
      </c>
    </row>
    <row r="410" spans="1:4" x14ac:dyDescent="0.35">
      <c r="A410" t="s">
        <v>76</v>
      </c>
      <c r="B410">
        <v>2016</v>
      </c>
      <c r="C410">
        <v>19.309999999999999</v>
      </c>
      <c r="D410" t="s">
        <v>18</v>
      </c>
    </row>
    <row r="411" spans="1:4" x14ac:dyDescent="0.35">
      <c r="A411" t="s">
        <v>76</v>
      </c>
      <c r="B411">
        <v>2017</v>
      </c>
      <c r="C411">
        <v>18.5</v>
      </c>
      <c r="D411" t="s">
        <v>18</v>
      </c>
    </row>
    <row r="412" spans="1:4" x14ac:dyDescent="0.35">
      <c r="A412" t="s">
        <v>76</v>
      </c>
      <c r="B412">
        <v>2018</v>
      </c>
      <c r="C412">
        <v>21.45</v>
      </c>
      <c r="D412" t="s">
        <v>18</v>
      </c>
    </row>
    <row r="413" spans="1:4" x14ac:dyDescent="0.35">
      <c r="A413" t="s">
        <v>76</v>
      </c>
      <c r="B413">
        <v>2019</v>
      </c>
      <c r="C413">
        <v>19.440000000000001</v>
      </c>
      <c r="D413" t="s">
        <v>18</v>
      </c>
    </row>
    <row r="414" spans="1:4" x14ac:dyDescent="0.35">
      <c r="A414" t="s">
        <v>76</v>
      </c>
      <c r="B414">
        <v>2020</v>
      </c>
      <c r="C414">
        <v>18.920000000000002</v>
      </c>
      <c r="D414" t="s">
        <v>18</v>
      </c>
    </row>
    <row r="415" spans="1:4" x14ac:dyDescent="0.35">
      <c r="A415" t="s">
        <v>76</v>
      </c>
      <c r="B415">
        <v>2021</v>
      </c>
      <c r="C415">
        <v>20.32</v>
      </c>
      <c r="D415" t="s">
        <v>18</v>
      </c>
    </row>
    <row r="416" spans="1:4" x14ac:dyDescent="0.35">
      <c r="A416" t="s">
        <v>76</v>
      </c>
      <c r="B416">
        <v>2022</v>
      </c>
      <c r="C416">
        <v>19.12</v>
      </c>
      <c r="D416" t="s">
        <v>18</v>
      </c>
    </row>
    <row r="417" spans="1:4" x14ac:dyDescent="0.35">
      <c r="A417" t="s">
        <v>76</v>
      </c>
      <c r="B417">
        <v>2024</v>
      </c>
      <c r="C417">
        <v>18.600000000000001</v>
      </c>
      <c r="D417" t="s">
        <v>18</v>
      </c>
    </row>
    <row r="418" spans="1:4" x14ac:dyDescent="0.35">
      <c r="A418" t="s">
        <v>77</v>
      </c>
      <c r="B418">
        <v>2020</v>
      </c>
      <c r="C418">
        <v>7.06</v>
      </c>
      <c r="D418" t="s">
        <v>18</v>
      </c>
    </row>
    <row r="419" spans="1:4" x14ac:dyDescent="0.35">
      <c r="A419" t="s">
        <v>77</v>
      </c>
      <c r="B419">
        <v>2021</v>
      </c>
      <c r="C419">
        <v>9.15</v>
      </c>
      <c r="D419" t="s">
        <v>18</v>
      </c>
    </row>
    <row r="420" spans="1:4" x14ac:dyDescent="0.35">
      <c r="A420" t="s">
        <v>77</v>
      </c>
      <c r="B420">
        <v>2022</v>
      </c>
      <c r="C420">
        <v>9.84</v>
      </c>
      <c r="D420" t="s">
        <v>18</v>
      </c>
    </row>
    <row r="421" spans="1:4" x14ac:dyDescent="0.35">
      <c r="A421" t="s">
        <v>77</v>
      </c>
      <c r="B421">
        <v>2023</v>
      </c>
      <c r="C421">
        <v>8.93</v>
      </c>
      <c r="D421" t="s">
        <v>18</v>
      </c>
    </row>
    <row r="422" spans="1:4" x14ac:dyDescent="0.35">
      <c r="A422" t="s">
        <v>77</v>
      </c>
      <c r="B422">
        <v>2024</v>
      </c>
      <c r="C422">
        <v>10.09</v>
      </c>
      <c r="D422" t="s">
        <v>18</v>
      </c>
    </row>
    <row r="423" spans="1:4" x14ac:dyDescent="0.35">
      <c r="A423" t="s">
        <v>78</v>
      </c>
      <c r="B423">
        <v>2015</v>
      </c>
      <c r="C423">
        <v>21.51</v>
      </c>
      <c r="D423" t="s">
        <v>18</v>
      </c>
    </row>
    <row r="424" spans="1:4" x14ac:dyDescent="0.35">
      <c r="A424" t="s">
        <v>78</v>
      </c>
      <c r="B424">
        <v>2018</v>
      </c>
      <c r="C424">
        <v>24.8</v>
      </c>
      <c r="D424" t="s">
        <v>18</v>
      </c>
    </row>
    <row r="425" spans="1:4" x14ac:dyDescent="0.35">
      <c r="A425" t="s">
        <v>78</v>
      </c>
      <c r="B425">
        <v>2019</v>
      </c>
      <c r="C425">
        <v>16.850000000000001</v>
      </c>
      <c r="D425" t="s">
        <v>18</v>
      </c>
    </row>
    <row r="426" spans="1:4" x14ac:dyDescent="0.35">
      <c r="A426" t="s">
        <v>78</v>
      </c>
      <c r="B426">
        <v>2020</v>
      </c>
      <c r="C426">
        <v>16.399999999999999</v>
      </c>
      <c r="D426" t="s">
        <v>18</v>
      </c>
    </row>
    <row r="427" spans="1:4" x14ac:dyDescent="0.35">
      <c r="A427" t="s">
        <v>78</v>
      </c>
      <c r="B427">
        <v>2021</v>
      </c>
      <c r="C427">
        <v>17.62</v>
      </c>
      <c r="D427" t="s">
        <v>18</v>
      </c>
    </row>
    <row r="428" spans="1:4" x14ac:dyDescent="0.35">
      <c r="A428" t="s">
        <v>78</v>
      </c>
      <c r="B428">
        <v>2022</v>
      </c>
      <c r="C428">
        <v>16.579999999999998</v>
      </c>
      <c r="D428" t="s">
        <v>18</v>
      </c>
    </row>
    <row r="429" spans="1:4" x14ac:dyDescent="0.35">
      <c r="A429" t="s">
        <v>78</v>
      </c>
      <c r="B429">
        <v>2023</v>
      </c>
      <c r="C429">
        <v>16.309999999999999</v>
      </c>
      <c r="D429" t="s">
        <v>18</v>
      </c>
    </row>
    <row r="430" spans="1:4" x14ac:dyDescent="0.35">
      <c r="A430" t="s">
        <v>78</v>
      </c>
      <c r="B430">
        <v>2024</v>
      </c>
      <c r="C430">
        <v>16.12</v>
      </c>
      <c r="D430" t="s">
        <v>18</v>
      </c>
    </row>
    <row r="431" spans="1:4" x14ac:dyDescent="0.35">
      <c r="A431" t="s">
        <v>79</v>
      </c>
      <c r="B431">
        <v>2023</v>
      </c>
      <c r="C431">
        <v>2.38</v>
      </c>
      <c r="D431" t="s">
        <v>18</v>
      </c>
    </row>
    <row r="432" spans="1:4" x14ac:dyDescent="0.35">
      <c r="A432" t="s">
        <v>79</v>
      </c>
      <c r="B432">
        <v>2024</v>
      </c>
      <c r="C432">
        <v>3.5</v>
      </c>
      <c r="D432" t="s">
        <v>18</v>
      </c>
    </row>
    <row r="433" spans="1:4" x14ac:dyDescent="0.35">
      <c r="A433" t="s">
        <v>80</v>
      </c>
      <c r="B433">
        <v>2024</v>
      </c>
      <c r="C433">
        <v>132.24</v>
      </c>
      <c r="D433" t="s">
        <v>18</v>
      </c>
    </row>
    <row r="434" spans="1:4" x14ac:dyDescent="0.35">
      <c r="A434" t="s">
        <v>81</v>
      </c>
      <c r="B434">
        <v>2015</v>
      </c>
      <c r="C434">
        <v>61.95</v>
      </c>
      <c r="D434" t="s">
        <v>18</v>
      </c>
    </row>
    <row r="435" spans="1:4" x14ac:dyDescent="0.35">
      <c r="A435" t="s">
        <v>81</v>
      </c>
      <c r="B435">
        <v>2015</v>
      </c>
      <c r="C435">
        <v>12.39</v>
      </c>
      <c r="D435" t="s">
        <v>20</v>
      </c>
    </row>
    <row r="436" spans="1:4" x14ac:dyDescent="0.35">
      <c r="A436" t="s">
        <v>81</v>
      </c>
      <c r="B436">
        <v>2016</v>
      </c>
      <c r="C436">
        <v>86.18</v>
      </c>
      <c r="D436" t="s">
        <v>18</v>
      </c>
    </row>
    <row r="437" spans="1:4" x14ac:dyDescent="0.35">
      <c r="A437" t="s">
        <v>81</v>
      </c>
      <c r="B437">
        <v>2016</v>
      </c>
      <c r="C437">
        <v>9.23</v>
      </c>
      <c r="D437" t="s">
        <v>20</v>
      </c>
    </row>
    <row r="438" spans="1:4" x14ac:dyDescent="0.35">
      <c r="A438" t="s">
        <v>81</v>
      </c>
      <c r="B438">
        <v>2017</v>
      </c>
      <c r="C438">
        <v>83.92</v>
      </c>
      <c r="D438" t="s">
        <v>18</v>
      </c>
    </row>
    <row r="439" spans="1:4" x14ac:dyDescent="0.35">
      <c r="A439" t="s">
        <v>81</v>
      </c>
      <c r="B439">
        <v>2017</v>
      </c>
      <c r="C439">
        <v>6.95</v>
      </c>
      <c r="D439" t="s">
        <v>20</v>
      </c>
    </row>
    <row r="440" spans="1:4" x14ac:dyDescent="0.35">
      <c r="A440" t="s">
        <v>81</v>
      </c>
      <c r="B440">
        <v>2018</v>
      </c>
      <c r="C440">
        <v>100.9</v>
      </c>
      <c r="D440" t="s">
        <v>18</v>
      </c>
    </row>
    <row r="441" spans="1:4" x14ac:dyDescent="0.35">
      <c r="A441" t="s">
        <v>81</v>
      </c>
      <c r="B441">
        <v>2018</v>
      </c>
      <c r="C441">
        <v>9.3000000000000007</v>
      </c>
      <c r="D441" t="s">
        <v>20</v>
      </c>
    </row>
    <row r="442" spans="1:4" x14ac:dyDescent="0.35">
      <c r="A442" t="s">
        <v>81</v>
      </c>
      <c r="B442">
        <v>2019</v>
      </c>
      <c r="C442">
        <v>96.46</v>
      </c>
      <c r="D442" t="s">
        <v>18</v>
      </c>
    </row>
    <row r="443" spans="1:4" x14ac:dyDescent="0.35">
      <c r="A443" t="s">
        <v>81</v>
      </c>
      <c r="B443">
        <v>2019</v>
      </c>
      <c r="C443">
        <v>8.0299999999999994</v>
      </c>
      <c r="D443" t="s">
        <v>20</v>
      </c>
    </row>
    <row r="444" spans="1:4" x14ac:dyDescent="0.35">
      <c r="A444" t="s">
        <v>81</v>
      </c>
      <c r="B444">
        <v>2020</v>
      </c>
      <c r="C444">
        <v>99.44</v>
      </c>
      <c r="D444" t="s">
        <v>18</v>
      </c>
    </row>
    <row r="445" spans="1:4" x14ac:dyDescent="0.35">
      <c r="A445" t="s">
        <v>81</v>
      </c>
      <c r="B445">
        <v>2020</v>
      </c>
      <c r="C445">
        <v>19.850000000000001</v>
      </c>
      <c r="D445" t="s">
        <v>20</v>
      </c>
    </row>
    <row r="446" spans="1:4" x14ac:dyDescent="0.35">
      <c r="A446" t="s">
        <v>81</v>
      </c>
      <c r="B446">
        <v>2021</v>
      </c>
      <c r="C446">
        <v>101.47</v>
      </c>
      <c r="D446" t="s">
        <v>18</v>
      </c>
    </row>
    <row r="447" spans="1:4" x14ac:dyDescent="0.35">
      <c r="A447" t="s">
        <v>81</v>
      </c>
      <c r="B447">
        <v>2021</v>
      </c>
      <c r="C447">
        <v>46.1</v>
      </c>
      <c r="D447" t="s">
        <v>20</v>
      </c>
    </row>
    <row r="448" spans="1:4" x14ac:dyDescent="0.35">
      <c r="A448" t="s">
        <v>81</v>
      </c>
      <c r="B448">
        <v>2022</v>
      </c>
      <c r="C448">
        <v>129.86000000000001</v>
      </c>
      <c r="D448" t="s">
        <v>18</v>
      </c>
    </row>
    <row r="449" spans="1:4" x14ac:dyDescent="0.35">
      <c r="A449" t="s">
        <v>81</v>
      </c>
      <c r="B449">
        <v>2022</v>
      </c>
      <c r="C449">
        <v>65.59</v>
      </c>
      <c r="D449" t="s">
        <v>20</v>
      </c>
    </row>
    <row r="450" spans="1:4" x14ac:dyDescent="0.35">
      <c r="A450" t="s">
        <v>81</v>
      </c>
      <c r="B450">
        <v>2023</v>
      </c>
      <c r="C450">
        <v>130.81</v>
      </c>
      <c r="D450" t="s">
        <v>18</v>
      </c>
    </row>
    <row r="451" spans="1:4" x14ac:dyDescent="0.35">
      <c r="A451" t="s">
        <v>81</v>
      </c>
      <c r="B451">
        <v>2023</v>
      </c>
      <c r="C451">
        <v>93.81</v>
      </c>
      <c r="D451" t="s">
        <v>20</v>
      </c>
    </row>
    <row r="452" spans="1:4" x14ac:dyDescent="0.35">
      <c r="A452" t="s">
        <v>81</v>
      </c>
      <c r="B452">
        <v>2024</v>
      </c>
      <c r="C452">
        <v>132.12</v>
      </c>
      <c r="D452" t="s">
        <v>18</v>
      </c>
    </row>
    <row r="453" spans="1:4" x14ac:dyDescent="0.35">
      <c r="A453" t="s">
        <v>81</v>
      </c>
      <c r="B453">
        <v>2024</v>
      </c>
      <c r="C453">
        <v>59.17</v>
      </c>
      <c r="D453" t="s">
        <v>20</v>
      </c>
    </row>
    <row r="454" spans="1:4" x14ac:dyDescent="0.35">
      <c r="A454" t="s">
        <v>82</v>
      </c>
      <c r="B454">
        <v>2024</v>
      </c>
      <c r="C454">
        <v>9.1199999999999992</v>
      </c>
      <c r="D454" t="s">
        <v>18</v>
      </c>
    </row>
    <row r="455" spans="1:4" x14ac:dyDescent="0.35">
      <c r="A455" t="s">
        <v>83</v>
      </c>
      <c r="B455">
        <v>2022</v>
      </c>
      <c r="C455">
        <v>14.55</v>
      </c>
      <c r="D455" t="s">
        <v>18</v>
      </c>
    </row>
    <row r="456" spans="1:4" x14ac:dyDescent="0.35">
      <c r="A456" t="s">
        <v>83</v>
      </c>
      <c r="B456">
        <v>2023</v>
      </c>
      <c r="C456">
        <v>17.25</v>
      </c>
      <c r="D456" t="s">
        <v>18</v>
      </c>
    </row>
    <row r="457" spans="1:4" x14ac:dyDescent="0.35">
      <c r="A457" t="s">
        <v>84</v>
      </c>
      <c r="B457">
        <v>2015</v>
      </c>
      <c r="C457">
        <v>4.2</v>
      </c>
      <c r="D457" t="s">
        <v>20</v>
      </c>
    </row>
    <row r="458" spans="1:4" x14ac:dyDescent="0.35">
      <c r="A458" t="s">
        <v>84</v>
      </c>
      <c r="B458">
        <v>2016</v>
      </c>
      <c r="C458">
        <v>2.19</v>
      </c>
      <c r="D458" t="s">
        <v>20</v>
      </c>
    </row>
    <row r="459" spans="1:4" x14ac:dyDescent="0.35">
      <c r="A459" t="s">
        <v>84</v>
      </c>
      <c r="B459">
        <v>2017</v>
      </c>
      <c r="C459">
        <v>1.23</v>
      </c>
      <c r="D459" t="s">
        <v>20</v>
      </c>
    </row>
    <row r="460" spans="1:4" x14ac:dyDescent="0.35">
      <c r="A460" t="s">
        <v>84</v>
      </c>
      <c r="B460">
        <v>2018</v>
      </c>
      <c r="C460">
        <v>1.35</v>
      </c>
      <c r="D460" t="s">
        <v>20</v>
      </c>
    </row>
    <row r="461" spans="1:4" x14ac:dyDescent="0.35">
      <c r="A461" t="s">
        <v>84</v>
      </c>
      <c r="B461">
        <v>2019</v>
      </c>
      <c r="C461">
        <v>2.08</v>
      </c>
      <c r="D461" t="s">
        <v>20</v>
      </c>
    </row>
    <row r="462" spans="1:4" x14ac:dyDescent="0.35">
      <c r="A462" t="s">
        <v>84</v>
      </c>
      <c r="B462">
        <v>2020</v>
      </c>
      <c r="C462">
        <v>2.82</v>
      </c>
      <c r="D462" t="s">
        <v>20</v>
      </c>
    </row>
    <row r="463" spans="1:4" x14ac:dyDescent="0.35">
      <c r="A463" t="s">
        <v>84</v>
      </c>
      <c r="B463">
        <v>2021</v>
      </c>
      <c r="C463">
        <v>3.8</v>
      </c>
      <c r="D463" t="s">
        <v>20</v>
      </c>
    </row>
    <row r="464" spans="1:4" x14ac:dyDescent="0.35">
      <c r="A464" t="s">
        <v>84</v>
      </c>
      <c r="B464">
        <v>2022</v>
      </c>
      <c r="C464">
        <v>4.4000000000000004</v>
      </c>
      <c r="D464" t="s">
        <v>20</v>
      </c>
    </row>
    <row r="465" spans="1:4" x14ac:dyDescent="0.35">
      <c r="A465" t="s">
        <v>84</v>
      </c>
      <c r="B465">
        <v>2023</v>
      </c>
      <c r="C465">
        <v>4.5999999999999996</v>
      </c>
      <c r="D465" t="s">
        <v>20</v>
      </c>
    </row>
    <row r="466" spans="1:4" x14ac:dyDescent="0.35">
      <c r="A466" t="s">
        <v>84</v>
      </c>
      <c r="B466">
        <v>2024</v>
      </c>
      <c r="C466">
        <v>4.71</v>
      </c>
      <c r="D466" t="s">
        <v>20</v>
      </c>
    </row>
    <row r="467" spans="1:4" x14ac:dyDescent="0.35">
      <c r="A467" t="s">
        <v>85</v>
      </c>
      <c r="B467">
        <v>2015</v>
      </c>
      <c r="C467">
        <v>37.51</v>
      </c>
      <c r="D467" t="s">
        <v>20</v>
      </c>
    </row>
    <row r="468" spans="1:4" x14ac:dyDescent="0.35">
      <c r="A468" t="s">
        <v>85</v>
      </c>
      <c r="B468">
        <v>2016</v>
      </c>
      <c r="C468">
        <v>14.64</v>
      </c>
      <c r="D468" t="s">
        <v>20</v>
      </c>
    </row>
    <row r="469" spans="1:4" x14ac:dyDescent="0.35">
      <c r="A469" t="s">
        <v>85</v>
      </c>
      <c r="B469">
        <v>2017</v>
      </c>
      <c r="C469">
        <v>13.39</v>
      </c>
      <c r="D469" t="s">
        <v>20</v>
      </c>
    </row>
    <row r="470" spans="1:4" x14ac:dyDescent="0.35">
      <c r="A470" t="s">
        <v>85</v>
      </c>
      <c r="B470">
        <v>2018</v>
      </c>
      <c r="C470">
        <v>5.69</v>
      </c>
      <c r="D470" t="s">
        <v>20</v>
      </c>
    </row>
    <row r="471" spans="1:4" x14ac:dyDescent="0.35">
      <c r="A471" t="s">
        <v>85</v>
      </c>
      <c r="B471">
        <v>2019</v>
      </c>
      <c r="C471">
        <v>5.85</v>
      </c>
      <c r="D471" t="s">
        <v>20</v>
      </c>
    </row>
    <row r="472" spans="1:4" x14ac:dyDescent="0.35">
      <c r="A472" t="s">
        <v>85</v>
      </c>
      <c r="B472">
        <v>2020</v>
      </c>
      <c r="C472">
        <v>5.58</v>
      </c>
      <c r="D472" t="s">
        <v>20</v>
      </c>
    </row>
    <row r="473" spans="1:4" x14ac:dyDescent="0.35">
      <c r="A473" t="s">
        <v>85</v>
      </c>
      <c r="B473">
        <v>2021</v>
      </c>
      <c r="C473">
        <v>4.87</v>
      </c>
      <c r="D473" t="s">
        <v>20</v>
      </c>
    </row>
    <row r="474" spans="1:4" x14ac:dyDescent="0.35">
      <c r="A474" t="s">
        <v>85</v>
      </c>
      <c r="B474">
        <v>2022</v>
      </c>
      <c r="C474">
        <v>4.42</v>
      </c>
      <c r="D474" t="s">
        <v>20</v>
      </c>
    </row>
    <row r="475" spans="1:4" x14ac:dyDescent="0.35">
      <c r="A475" t="s">
        <v>85</v>
      </c>
      <c r="B475">
        <v>2023</v>
      </c>
      <c r="C475">
        <v>41.95</v>
      </c>
      <c r="D475" t="s">
        <v>20</v>
      </c>
    </row>
    <row r="476" spans="1:4" x14ac:dyDescent="0.35">
      <c r="A476" t="s">
        <v>85</v>
      </c>
      <c r="B476">
        <v>2024</v>
      </c>
      <c r="C476">
        <v>36.909999999999997</v>
      </c>
      <c r="D476" t="s">
        <v>20</v>
      </c>
    </row>
    <row r="477" spans="1:4" x14ac:dyDescent="0.35">
      <c r="A477" t="s">
        <v>86</v>
      </c>
      <c r="B477">
        <v>2015</v>
      </c>
      <c r="C477">
        <v>0.01</v>
      </c>
      <c r="D477" t="s">
        <v>18</v>
      </c>
    </row>
    <row r="478" spans="1:4" x14ac:dyDescent="0.35">
      <c r="A478" t="s">
        <v>86</v>
      </c>
      <c r="B478">
        <v>2017</v>
      </c>
      <c r="C478">
        <v>0.01</v>
      </c>
      <c r="D478" t="s">
        <v>18</v>
      </c>
    </row>
    <row r="479" spans="1:4" x14ac:dyDescent="0.35">
      <c r="A479" t="s">
        <v>86</v>
      </c>
      <c r="B479">
        <v>2018</v>
      </c>
      <c r="C479">
        <v>0.02</v>
      </c>
      <c r="D479" t="s">
        <v>18</v>
      </c>
    </row>
    <row r="480" spans="1:4" x14ac:dyDescent="0.35">
      <c r="A480" t="s">
        <v>86</v>
      </c>
      <c r="B480">
        <v>2019</v>
      </c>
      <c r="C480">
        <v>0.37</v>
      </c>
      <c r="D480" t="s">
        <v>18</v>
      </c>
    </row>
    <row r="481" spans="1:4" x14ac:dyDescent="0.35">
      <c r="A481" t="s">
        <v>86</v>
      </c>
      <c r="B481">
        <v>2020</v>
      </c>
      <c r="C481">
        <v>0.38</v>
      </c>
      <c r="D481" t="s">
        <v>18</v>
      </c>
    </row>
    <row r="482" spans="1:4" x14ac:dyDescent="0.35">
      <c r="A482" t="s">
        <v>86</v>
      </c>
      <c r="B482">
        <v>2021</v>
      </c>
      <c r="C482">
        <v>0.36</v>
      </c>
      <c r="D482" t="s">
        <v>18</v>
      </c>
    </row>
    <row r="483" spans="1:4" x14ac:dyDescent="0.35">
      <c r="A483" t="s">
        <v>86</v>
      </c>
      <c r="B483">
        <v>2022</v>
      </c>
      <c r="C483">
        <v>1.03</v>
      </c>
      <c r="D483" t="s">
        <v>18</v>
      </c>
    </row>
    <row r="484" spans="1:4" x14ac:dyDescent="0.35">
      <c r="A484" t="s">
        <v>86</v>
      </c>
      <c r="B484">
        <v>2023</v>
      </c>
      <c r="C484">
        <v>0.82</v>
      </c>
      <c r="D484" t="s">
        <v>18</v>
      </c>
    </row>
    <row r="485" spans="1:4" x14ac:dyDescent="0.35">
      <c r="A485" t="s">
        <v>86</v>
      </c>
      <c r="B485">
        <v>2024</v>
      </c>
      <c r="C485">
        <v>0.77</v>
      </c>
      <c r="D485" t="s">
        <v>18</v>
      </c>
    </row>
    <row r="486" spans="1:4" x14ac:dyDescent="0.35">
      <c r="A486" t="s">
        <v>87</v>
      </c>
      <c r="B486">
        <v>2015</v>
      </c>
      <c r="C486">
        <v>26.71</v>
      </c>
      <c r="D486" t="s">
        <v>18</v>
      </c>
    </row>
    <row r="487" spans="1:4" x14ac:dyDescent="0.35">
      <c r="A487" t="s">
        <v>87</v>
      </c>
      <c r="B487">
        <v>2016</v>
      </c>
      <c r="C487">
        <v>23.72</v>
      </c>
      <c r="D487" t="s">
        <v>18</v>
      </c>
    </row>
    <row r="488" spans="1:4" x14ac:dyDescent="0.35">
      <c r="A488" t="s">
        <v>87</v>
      </c>
      <c r="B488">
        <v>2017</v>
      </c>
      <c r="C488">
        <v>22.41</v>
      </c>
      <c r="D488" t="s">
        <v>18</v>
      </c>
    </row>
    <row r="489" spans="1:4" x14ac:dyDescent="0.35">
      <c r="A489" t="s">
        <v>87</v>
      </c>
      <c r="B489">
        <v>2018</v>
      </c>
      <c r="C489">
        <v>25.46</v>
      </c>
      <c r="D489" t="s">
        <v>18</v>
      </c>
    </row>
    <row r="490" spans="1:4" x14ac:dyDescent="0.35">
      <c r="A490" t="s">
        <v>87</v>
      </c>
      <c r="B490">
        <v>2019</v>
      </c>
      <c r="C490">
        <v>23.59</v>
      </c>
      <c r="D490" t="s">
        <v>18</v>
      </c>
    </row>
    <row r="491" spans="1:4" x14ac:dyDescent="0.35">
      <c r="A491" t="s">
        <v>87</v>
      </c>
      <c r="B491">
        <v>2020</v>
      </c>
      <c r="C491">
        <v>22.28</v>
      </c>
      <c r="D491" t="s">
        <v>18</v>
      </c>
    </row>
    <row r="492" spans="1:4" x14ac:dyDescent="0.35">
      <c r="A492" t="s">
        <v>87</v>
      </c>
      <c r="B492">
        <v>2021</v>
      </c>
      <c r="C492">
        <v>24.8</v>
      </c>
      <c r="D492" t="s">
        <v>18</v>
      </c>
    </row>
    <row r="493" spans="1:4" x14ac:dyDescent="0.35">
      <c r="A493" t="s">
        <v>87</v>
      </c>
      <c r="B493">
        <v>2022</v>
      </c>
      <c r="C493">
        <v>23.65</v>
      </c>
      <c r="D493" t="s">
        <v>18</v>
      </c>
    </row>
    <row r="494" spans="1:4" x14ac:dyDescent="0.35">
      <c r="A494" t="s">
        <v>87</v>
      </c>
      <c r="B494">
        <v>2022</v>
      </c>
      <c r="C494">
        <v>98.99</v>
      </c>
      <c r="D494" t="s">
        <v>20</v>
      </c>
    </row>
    <row r="495" spans="1:4" x14ac:dyDescent="0.35">
      <c r="A495" t="s">
        <v>87</v>
      </c>
      <c r="B495">
        <v>2023</v>
      </c>
      <c r="C495">
        <v>22.28</v>
      </c>
      <c r="D495" t="s">
        <v>18</v>
      </c>
    </row>
    <row r="496" spans="1:4" x14ac:dyDescent="0.35">
      <c r="A496" t="s">
        <v>87</v>
      </c>
      <c r="B496">
        <v>2023</v>
      </c>
      <c r="C496">
        <v>88.13</v>
      </c>
      <c r="D496" t="s">
        <v>20</v>
      </c>
    </row>
    <row r="497" spans="1:4" x14ac:dyDescent="0.35">
      <c r="A497" t="s">
        <v>87</v>
      </c>
      <c r="B497">
        <v>2024</v>
      </c>
      <c r="C497">
        <v>22.62</v>
      </c>
      <c r="D497" t="s">
        <v>18</v>
      </c>
    </row>
    <row r="498" spans="1:4" x14ac:dyDescent="0.35">
      <c r="A498" t="s">
        <v>87</v>
      </c>
      <c r="B498">
        <v>2024</v>
      </c>
      <c r="C498">
        <v>45.06</v>
      </c>
      <c r="D498" t="s">
        <v>20</v>
      </c>
    </row>
    <row r="499" spans="1:4" x14ac:dyDescent="0.35">
      <c r="A499" t="s">
        <v>88</v>
      </c>
      <c r="B499">
        <v>2022</v>
      </c>
      <c r="C499">
        <v>137.30000000000001</v>
      </c>
      <c r="D499" t="s">
        <v>18</v>
      </c>
    </row>
    <row r="500" spans="1:4" x14ac:dyDescent="0.35">
      <c r="A500" t="s">
        <v>88</v>
      </c>
      <c r="B500">
        <v>2023</v>
      </c>
      <c r="C500">
        <v>155.87</v>
      </c>
      <c r="D500" t="s">
        <v>18</v>
      </c>
    </row>
    <row r="501" spans="1:4" x14ac:dyDescent="0.35">
      <c r="A501" t="s">
        <v>88</v>
      </c>
      <c r="B501">
        <v>2024</v>
      </c>
      <c r="C501">
        <v>167.17</v>
      </c>
      <c r="D501" t="s">
        <v>18</v>
      </c>
    </row>
    <row r="502" spans="1:4" x14ac:dyDescent="0.35">
      <c r="A502" t="s">
        <v>89</v>
      </c>
      <c r="B502">
        <v>2023</v>
      </c>
      <c r="C502">
        <v>22.2</v>
      </c>
      <c r="D502" t="s">
        <v>20</v>
      </c>
    </row>
    <row r="503" spans="1:4" x14ac:dyDescent="0.35">
      <c r="A503" t="s">
        <v>89</v>
      </c>
      <c r="B503">
        <v>2024</v>
      </c>
      <c r="C503">
        <v>25.75</v>
      </c>
      <c r="D503" t="s">
        <v>20</v>
      </c>
    </row>
    <row r="504" spans="1:4" x14ac:dyDescent="0.35">
      <c r="A504" t="s">
        <v>90</v>
      </c>
      <c r="B504">
        <v>2023</v>
      </c>
      <c r="C504">
        <v>15.53</v>
      </c>
      <c r="D504" t="s">
        <v>18</v>
      </c>
    </row>
    <row r="505" spans="1:4" x14ac:dyDescent="0.35">
      <c r="A505" t="s">
        <v>90</v>
      </c>
      <c r="B505">
        <v>2024</v>
      </c>
      <c r="C505">
        <v>17.690000000000001</v>
      </c>
      <c r="D505" t="s">
        <v>18</v>
      </c>
    </row>
    <row r="506" spans="1:4" x14ac:dyDescent="0.35">
      <c r="A506" t="s">
        <v>91</v>
      </c>
      <c r="B506">
        <v>2017</v>
      </c>
      <c r="C506">
        <v>12.6</v>
      </c>
      <c r="D506" t="s">
        <v>18</v>
      </c>
    </row>
    <row r="507" spans="1:4" x14ac:dyDescent="0.35">
      <c r="A507" t="s">
        <v>91</v>
      </c>
      <c r="B507">
        <v>2018</v>
      </c>
      <c r="C507">
        <v>13.68</v>
      </c>
      <c r="D507" t="s">
        <v>18</v>
      </c>
    </row>
    <row r="508" spans="1:4" x14ac:dyDescent="0.35">
      <c r="A508" t="s">
        <v>91</v>
      </c>
      <c r="B508">
        <v>2019</v>
      </c>
      <c r="C508">
        <v>13.01</v>
      </c>
      <c r="D508" t="s">
        <v>18</v>
      </c>
    </row>
    <row r="509" spans="1:4" x14ac:dyDescent="0.35">
      <c r="A509" t="s">
        <v>91</v>
      </c>
      <c r="B509">
        <v>2020</v>
      </c>
      <c r="C509">
        <v>11.8</v>
      </c>
      <c r="D509" t="s">
        <v>18</v>
      </c>
    </row>
    <row r="510" spans="1:4" x14ac:dyDescent="0.35">
      <c r="A510" t="s">
        <v>91</v>
      </c>
      <c r="B510">
        <v>2021</v>
      </c>
      <c r="C510">
        <v>12.23</v>
      </c>
      <c r="D510" t="s">
        <v>18</v>
      </c>
    </row>
    <row r="511" spans="1:4" x14ac:dyDescent="0.35">
      <c r="A511" t="s">
        <v>91</v>
      </c>
      <c r="B511">
        <v>2022</v>
      </c>
      <c r="C511">
        <v>12.6</v>
      </c>
      <c r="D511" t="s">
        <v>18</v>
      </c>
    </row>
    <row r="512" spans="1:4" x14ac:dyDescent="0.35">
      <c r="A512" t="s">
        <v>91</v>
      </c>
      <c r="B512">
        <v>2023</v>
      </c>
      <c r="C512">
        <v>13.86</v>
      </c>
      <c r="D512" t="s">
        <v>18</v>
      </c>
    </row>
    <row r="513" spans="1:4" x14ac:dyDescent="0.35">
      <c r="A513" t="s">
        <v>91</v>
      </c>
      <c r="B513">
        <v>2024</v>
      </c>
      <c r="C513">
        <v>15.09</v>
      </c>
      <c r="D513" t="s">
        <v>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1"/>
  <sheetViews>
    <sheetView workbookViewId="0">
      <selection sqref="A1:C631"/>
    </sheetView>
  </sheetViews>
  <sheetFormatPr defaultRowHeight="14.5" x14ac:dyDescent="0.35"/>
  <cols>
    <col min="1" max="1" width="20" customWidth="1"/>
    <col min="2" max="2" width="10" customWidth="1"/>
    <col min="3" max="3" width="18" customWidth="1"/>
  </cols>
  <sheetData>
    <row r="1" spans="1:3" x14ac:dyDescent="0.35">
      <c r="A1" s="7" t="s">
        <v>13</v>
      </c>
      <c r="B1" s="7" t="s">
        <v>14</v>
      </c>
      <c r="C1" s="7" t="s">
        <v>92</v>
      </c>
    </row>
    <row r="2" spans="1:3" x14ac:dyDescent="0.35">
      <c r="A2" t="s">
        <v>17</v>
      </c>
      <c r="B2">
        <v>2015</v>
      </c>
      <c r="C2">
        <v>12.27</v>
      </c>
    </row>
    <row r="3" spans="1:3" x14ac:dyDescent="0.35">
      <c r="A3" t="s">
        <v>17</v>
      </c>
      <c r="B3">
        <v>2016</v>
      </c>
      <c r="C3">
        <v>9.0299999999999994</v>
      </c>
    </row>
    <row r="4" spans="1:3" x14ac:dyDescent="0.35">
      <c r="A4" t="s">
        <v>17</v>
      </c>
      <c r="B4">
        <v>2017</v>
      </c>
      <c r="C4">
        <v>9.83</v>
      </c>
    </row>
    <row r="5" spans="1:3" x14ac:dyDescent="0.35">
      <c r="A5" t="s">
        <v>17</v>
      </c>
      <c r="B5">
        <v>2018</v>
      </c>
      <c r="C5">
        <v>9.65</v>
      </c>
    </row>
    <row r="6" spans="1:3" x14ac:dyDescent="0.35">
      <c r="A6" t="s">
        <v>17</v>
      </c>
      <c r="B6">
        <v>2019</v>
      </c>
      <c r="C6">
        <v>9.23</v>
      </c>
    </row>
    <row r="7" spans="1:3" x14ac:dyDescent="0.35">
      <c r="A7" t="s">
        <v>17</v>
      </c>
      <c r="B7">
        <v>2020</v>
      </c>
      <c r="C7">
        <v>8.69</v>
      </c>
    </row>
    <row r="8" spans="1:3" x14ac:dyDescent="0.35">
      <c r="A8" t="s">
        <v>17</v>
      </c>
      <c r="B8">
        <v>2021</v>
      </c>
      <c r="C8">
        <v>9.82</v>
      </c>
    </row>
    <row r="9" spans="1:3" x14ac:dyDescent="0.35">
      <c r="A9" t="s">
        <v>17</v>
      </c>
      <c r="B9">
        <v>2022</v>
      </c>
      <c r="C9">
        <v>8.9600000000000009</v>
      </c>
    </row>
    <row r="10" spans="1:3" x14ac:dyDescent="0.35">
      <c r="A10" t="s">
        <v>17</v>
      </c>
      <c r="B10">
        <v>2023</v>
      </c>
      <c r="C10">
        <v>8.56</v>
      </c>
    </row>
    <row r="11" spans="1:3" x14ac:dyDescent="0.35">
      <c r="A11" t="s">
        <v>19</v>
      </c>
      <c r="B11">
        <v>2015</v>
      </c>
      <c r="C11">
        <v>789.07</v>
      </c>
    </row>
    <row r="12" spans="1:3" x14ac:dyDescent="0.35">
      <c r="A12" t="s">
        <v>19</v>
      </c>
      <c r="B12">
        <v>2016</v>
      </c>
      <c r="C12">
        <v>886.24</v>
      </c>
    </row>
    <row r="13" spans="1:3" x14ac:dyDescent="0.35">
      <c r="A13" t="s">
        <v>19</v>
      </c>
      <c r="B13">
        <v>2017</v>
      </c>
      <c r="C13">
        <v>905.03</v>
      </c>
    </row>
    <row r="14" spans="1:3" x14ac:dyDescent="0.35">
      <c r="A14" t="s">
        <v>19</v>
      </c>
      <c r="B14">
        <v>2018</v>
      </c>
      <c r="C14">
        <v>923.96</v>
      </c>
    </row>
    <row r="15" spans="1:3" x14ac:dyDescent="0.35">
      <c r="A15" t="s">
        <v>19</v>
      </c>
      <c r="B15">
        <v>2019</v>
      </c>
      <c r="C15">
        <v>915.12</v>
      </c>
    </row>
    <row r="16" spans="1:3" x14ac:dyDescent="0.35">
      <c r="A16" t="s">
        <v>19</v>
      </c>
      <c r="B16">
        <v>2020</v>
      </c>
      <c r="C16">
        <v>853.61</v>
      </c>
    </row>
    <row r="17" spans="1:3" x14ac:dyDescent="0.35">
      <c r="A17" t="s">
        <v>19</v>
      </c>
      <c r="B17">
        <v>2021</v>
      </c>
      <c r="C17">
        <v>844.41</v>
      </c>
    </row>
    <row r="18" spans="1:3" x14ac:dyDescent="0.35">
      <c r="A18" t="s">
        <v>19</v>
      </c>
      <c r="B18">
        <v>2022</v>
      </c>
      <c r="C18">
        <v>857.27</v>
      </c>
    </row>
    <row r="19" spans="1:3" x14ac:dyDescent="0.35">
      <c r="A19" t="s">
        <v>19</v>
      </c>
      <c r="B19">
        <v>2023</v>
      </c>
      <c r="C19">
        <v>875.95</v>
      </c>
    </row>
    <row r="20" spans="1:3" x14ac:dyDescent="0.35">
      <c r="A20" t="s">
        <v>21</v>
      </c>
      <c r="B20">
        <v>2015</v>
      </c>
      <c r="C20">
        <v>456.99</v>
      </c>
    </row>
    <row r="21" spans="1:3" x14ac:dyDescent="0.35">
      <c r="A21" t="s">
        <v>21</v>
      </c>
      <c r="B21">
        <v>2016</v>
      </c>
      <c r="C21">
        <v>440.31</v>
      </c>
    </row>
    <row r="22" spans="1:3" x14ac:dyDescent="0.35">
      <c r="A22" t="s">
        <v>21</v>
      </c>
      <c r="B22">
        <v>2017</v>
      </c>
      <c r="C22">
        <v>444.53</v>
      </c>
    </row>
    <row r="23" spans="1:3" x14ac:dyDescent="0.35">
      <c r="A23" t="s">
        <v>21</v>
      </c>
      <c r="B23">
        <v>2018</v>
      </c>
      <c r="C23">
        <v>442.66</v>
      </c>
    </row>
    <row r="24" spans="1:3" x14ac:dyDescent="0.35">
      <c r="A24" t="s">
        <v>21</v>
      </c>
      <c r="B24">
        <v>2019</v>
      </c>
      <c r="C24">
        <v>439.79</v>
      </c>
    </row>
    <row r="25" spans="1:3" x14ac:dyDescent="0.35">
      <c r="A25" t="s">
        <v>21</v>
      </c>
      <c r="B25">
        <v>2020</v>
      </c>
      <c r="C25">
        <v>425.46</v>
      </c>
    </row>
    <row r="26" spans="1:3" x14ac:dyDescent="0.35">
      <c r="A26" t="s">
        <v>21</v>
      </c>
      <c r="B26">
        <v>2021</v>
      </c>
      <c r="C26">
        <v>430.48</v>
      </c>
    </row>
    <row r="27" spans="1:3" x14ac:dyDescent="0.35">
      <c r="A27" t="s">
        <v>21</v>
      </c>
      <c r="B27">
        <v>2022</v>
      </c>
      <c r="C27">
        <v>450.36</v>
      </c>
    </row>
    <row r="28" spans="1:3" x14ac:dyDescent="0.35">
      <c r="A28" t="s">
        <v>21</v>
      </c>
      <c r="B28">
        <v>2023</v>
      </c>
      <c r="C28">
        <v>435.28</v>
      </c>
    </row>
    <row r="29" spans="1:3" x14ac:dyDescent="0.35">
      <c r="A29" t="s">
        <v>22</v>
      </c>
      <c r="B29">
        <v>2015</v>
      </c>
      <c r="C29">
        <v>616.51</v>
      </c>
    </row>
    <row r="30" spans="1:3" x14ac:dyDescent="0.35">
      <c r="A30" t="s">
        <v>22</v>
      </c>
      <c r="B30">
        <v>2016</v>
      </c>
      <c r="C30">
        <v>595.67999999999995</v>
      </c>
    </row>
    <row r="31" spans="1:3" x14ac:dyDescent="0.35">
      <c r="A31" t="s">
        <v>22</v>
      </c>
      <c r="B31">
        <v>2017</v>
      </c>
      <c r="C31">
        <v>638.33000000000004</v>
      </c>
    </row>
    <row r="32" spans="1:3" x14ac:dyDescent="0.35">
      <c r="A32" t="s">
        <v>22</v>
      </c>
      <c r="B32">
        <v>2018</v>
      </c>
      <c r="C32">
        <v>634.05999999999995</v>
      </c>
    </row>
    <row r="33" spans="1:3" x14ac:dyDescent="0.35">
      <c r="A33" t="s">
        <v>22</v>
      </c>
      <c r="B33">
        <v>2019</v>
      </c>
      <c r="C33">
        <v>618.17999999999995</v>
      </c>
    </row>
    <row r="34" spans="1:3" x14ac:dyDescent="0.35">
      <c r="A34" t="s">
        <v>22</v>
      </c>
      <c r="B34">
        <v>2020</v>
      </c>
      <c r="C34">
        <v>568.79</v>
      </c>
    </row>
    <row r="35" spans="1:3" x14ac:dyDescent="0.35">
      <c r="A35" t="s">
        <v>22</v>
      </c>
      <c r="B35">
        <v>2021</v>
      </c>
      <c r="C35">
        <v>569.41999999999996</v>
      </c>
    </row>
    <row r="36" spans="1:3" x14ac:dyDescent="0.35">
      <c r="A36" t="s">
        <v>22</v>
      </c>
      <c r="B36">
        <v>2022</v>
      </c>
      <c r="C36">
        <v>565.82000000000005</v>
      </c>
    </row>
    <row r="37" spans="1:3" x14ac:dyDescent="0.35">
      <c r="A37" t="s">
        <v>22</v>
      </c>
      <c r="B37">
        <v>2023</v>
      </c>
      <c r="C37">
        <v>651.66</v>
      </c>
    </row>
    <row r="38" spans="1:3" x14ac:dyDescent="0.35">
      <c r="A38" t="s">
        <v>23</v>
      </c>
      <c r="B38">
        <v>2015</v>
      </c>
      <c r="C38">
        <v>72.02</v>
      </c>
    </row>
    <row r="39" spans="1:3" x14ac:dyDescent="0.35">
      <c r="A39" t="s">
        <v>23</v>
      </c>
      <c r="B39">
        <v>2016</v>
      </c>
      <c r="C39">
        <v>72.33</v>
      </c>
    </row>
    <row r="40" spans="1:3" x14ac:dyDescent="0.35">
      <c r="A40" t="s">
        <v>23</v>
      </c>
      <c r="B40">
        <v>2017</v>
      </c>
      <c r="C40">
        <v>74.39</v>
      </c>
    </row>
    <row r="41" spans="1:3" x14ac:dyDescent="0.35">
      <c r="A41" t="s">
        <v>23</v>
      </c>
      <c r="B41">
        <v>2018</v>
      </c>
      <c r="C41">
        <v>71.180000000000007</v>
      </c>
    </row>
    <row r="42" spans="1:3" x14ac:dyDescent="0.35">
      <c r="A42" t="s">
        <v>23</v>
      </c>
      <c r="B42">
        <v>2019</v>
      </c>
      <c r="C42">
        <v>72.25</v>
      </c>
    </row>
    <row r="43" spans="1:3" x14ac:dyDescent="0.35">
      <c r="A43" t="s">
        <v>23</v>
      </c>
      <c r="B43">
        <v>2020</v>
      </c>
      <c r="C43">
        <v>66.790000000000006</v>
      </c>
    </row>
    <row r="44" spans="1:3" x14ac:dyDescent="0.35">
      <c r="A44" t="s">
        <v>23</v>
      </c>
      <c r="B44">
        <v>2021</v>
      </c>
      <c r="C44">
        <v>69.489999999999995</v>
      </c>
    </row>
    <row r="45" spans="1:3" x14ac:dyDescent="0.35">
      <c r="A45" t="s">
        <v>23</v>
      </c>
      <c r="B45">
        <v>2022</v>
      </c>
      <c r="C45">
        <v>65.94</v>
      </c>
    </row>
    <row r="46" spans="1:3" x14ac:dyDescent="0.35">
      <c r="A46" t="s">
        <v>23</v>
      </c>
      <c r="B46">
        <v>2023</v>
      </c>
      <c r="C46">
        <v>61.93</v>
      </c>
    </row>
    <row r="47" spans="1:3" x14ac:dyDescent="0.35">
      <c r="A47" t="s">
        <v>24</v>
      </c>
      <c r="B47">
        <v>2015</v>
      </c>
      <c r="C47">
        <v>678.95</v>
      </c>
    </row>
    <row r="48" spans="1:3" x14ac:dyDescent="0.35">
      <c r="A48" t="s">
        <v>24</v>
      </c>
      <c r="B48">
        <v>2016</v>
      </c>
      <c r="C48">
        <v>722.32</v>
      </c>
    </row>
    <row r="49" spans="1:3" x14ac:dyDescent="0.35">
      <c r="A49" t="s">
        <v>24</v>
      </c>
      <c r="B49">
        <v>2017</v>
      </c>
      <c r="C49">
        <v>720.16</v>
      </c>
    </row>
    <row r="50" spans="1:3" x14ac:dyDescent="0.35">
      <c r="A50" t="s">
        <v>24</v>
      </c>
      <c r="B50">
        <v>2018</v>
      </c>
      <c r="C50">
        <v>703.37</v>
      </c>
    </row>
    <row r="51" spans="1:3" x14ac:dyDescent="0.35">
      <c r="A51" t="s">
        <v>24</v>
      </c>
      <c r="B51">
        <v>2019</v>
      </c>
      <c r="C51">
        <v>717.6</v>
      </c>
    </row>
    <row r="52" spans="1:3" x14ac:dyDescent="0.35">
      <c r="A52" t="s">
        <v>24</v>
      </c>
      <c r="B52">
        <v>2020</v>
      </c>
      <c r="C52">
        <v>664.85</v>
      </c>
    </row>
    <row r="53" spans="1:3" x14ac:dyDescent="0.35">
      <c r="A53" t="s">
        <v>24</v>
      </c>
      <c r="B53">
        <v>2021</v>
      </c>
      <c r="C53">
        <v>676.79</v>
      </c>
    </row>
    <row r="54" spans="1:3" x14ac:dyDescent="0.35">
      <c r="A54" t="s">
        <v>24</v>
      </c>
      <c r="B54">
        <v>2022</v>
      </c>
      <c r="C54">
        <v>708.03</v>
      </c>
    </row>
    <row r="55" spans="1:3" x14ac:dyDescent="0.35">
      <c r="A55" t="s">
        <v>24</v>
      </c>
      <c r="B55">
        <v>2023</v>
      </c>
      <c r="C55">
        <v>731.02</v>
      </c>
    </row>
    <row r="56" spans="1:3" x14ac:dyDescent="0.35">
      <c r="A56" t="s">
        <v>25</v>
      </c>
      <c r="B56">
        <v>2015</v>
      </c>
      <c r="C56">
        <v>11103.35</v>
      </c>
    </row>
    <row r="57" spans="1:3" x14ac:dyDescent="0.35">
      <c r="A57" t="s">
        <v>25</v>
      </c>
      <c r="B57">
        <v>2016</v>
      </c>
      <c r="C57">
        <v>10955.02</v>
      </c>
    </row>
    <row r="58" spans="1:3" x14ac:dyDescent="0.35">
      <c r="A58" t="s">
        <v>25</v>
      </c>
      <c r="B58">
        <v>2017</v>
      </c>
      <c r="C58">
        <v>11189.72</v>
      </c>
    </row>
    <row r="59" spans="1:3" x14ac:dyDescent="0.35">
      <c r="A59" t="s">
        <v>25</v>
      </c>
      <c r="B59">
        <v>2018</v>
      </c>
      <c r="C59">
        <v>11662.12</v>
      </c>
    </row>
    <row r="60" spans="1:3" x14ac:dyDescent="0.35">
      <c r="A60" t="s">
        <v>25</v>
      </c>
      <c r="B60">
        <v>2019</v>
      </c>
      <c r="C60">
        <v>11915.69</v>
      </c>
    </row>
    <row r="61" spans="1:3" x14ac:dyDescent="0.35">
      <c r="A61" t="s">
        <v>25</v>
      </c>
      <c r="B61">
        <v>2020</v>
      </c>
      <c r="C61">
        <v>12084.55</v>
      </c>
    </row>
    <row r="62" spans="1:3" x14ac:dyDescent="0.35">
      <c r="A62" t="s">
        <v>25</v>
      </c>
      <c r="B62">
        <v>2021</v>
      </c>
      <c r="C62">
        <v>12665.78</v>
      </c>
    </row>
    <row r="63" spans="1:3" x14ac:dyDescent="0.35">
      <c r="A63" t="s">
        <v>25</v>
      </c>
      <c r="B63">
        <v>2022</v>
      </c>
      <c r="C63">
        <v>12651.27</v>
      </c>
    </row>
    <row r="64" spans="1:3" x14ac:dyDescent="0.35">
      <c r="A64" t="s">
        <v>25</v>
      </c>
      <c r="B64">
        <v>2023</v>
      </c>
      <c r="C64">
        <v>13152.05</v>
      </c>
    </row>
    <row r="65" spans="1:3" x14ac:dyDescent="0.35">
      <c r="A65" t="s">
        <v>26</v>
      </c>
      <c r="B65">
        <v>2015</v>
      </c>
      <c r="C65">
        <v>789.07</v>
      </c>
    </row>
    <row r="66" spans="1:3" x14ac:dyDescent="0.35">
      <c r="A66" t="s">
        <v>26</v>
      </c>
      <c r="B66">
        <v>2016</v>
      </c>
      <c r="C66">
        <v>886.24</v>
      </c>
    </row>
    <row r="67" spans="1:3" x14ac:dyDescent="0.35">
      <c r="A67" t="s">
        <v>26</v>
      </c>
      <c r="B67">
        <v>2017</v>
      </c>
      <c r="C67">
        <v>905.03</v>
      </c>
    </row>
    <row r="68" spans="1:3" x14ac:dyDescent="0.35">
      <c r="A68" t="s">
        <v>26</v>
      </c>
      <c r="B68">
        <v>2018</v>
      </c>
      <c r="C68">
        <v>923.96</v>
      </c>
    </row>
    <row r="69" spans="1:3" x14ac:dyDescent="0.35">
      <c r="A69" t="s">
        <v>26</v>
      </c>
      <c r="B69">
        <v>2019</v>
      </c>
      <c r="C69">
        <v>915.12</v>
      </c>
    </row>
    <row r="70" spans="1:3" x14ac:dyDescent="0.35">
      <c r="A70" t="s">
        <v>26</v>
      </c>
      <c r="B70">
        <v>2020</v>
      </c>
      <c r="C70">
        <v>853.61</v>
      </c>
    </row>
    <row r="71" spans="1:3" x14ac:dyDescent="0.35">
      <c r="A71" t="s">
        <v>26</v>
      </c>
      <c r="B71">
        <v>2021</v>
      </c>
      <c r="C71">
        <v>844.41</v>
      </c>
    </row>
    <row r="72" spans="1:3" x14ac:dyDescent="0.35">
      <c r="A72" t="s">
        <v>26</v>
      </c>
      <c r="B72">
        <v>2022</v>
      </c>
      <c r="C72">
        <v>857.27</v>
      </c>
    </row>
    <row r="73" spans="1:3" x14ac:dyDescent="0.35">
      <c r="A73" t="s">
        <v>26</v>
      </c>
      <c r="B73">
        <v>2023</v>
      </c>
      <c r="C73">
        <v>875.95</v>
      </c>
    </row>
    <row r="74" spans="1:3" x14ac:dyDescent="0.35">
      <c r="A74" t="s">
        <v>27</v>
      </c>
      <c r="B74">
        <v>2015</v>
      </c>
      <c r="C74">
        <v>5468.96</v>
      </c>
    </row>
    <row r="75" spans="1:3" x14ac:dyDescent="0.35">
      <c r="A75" t="s">
        <v>27</v>
      </c>
      <c r="B75">
        <v>2016</v>
      </c>
      <c r="C75">
        <v>5505.43</v>
      </c>
    </row>
    <row r="76" spans="1:3" x14ac:dyDescent="0.35">
      <c r="A76" t="s">
        <v>27</v>
      </c>
      <c r="B76">
        <v>2017</v>
      </c>
      <c r="C76">
        <v>5459.13</v>
      </c>
    </row>
    <row r="77" spans="1:3" x14ac:dyDescent="0.35">
      <c r="A77" t="s">
        <v>27</v>
      </c>
      <c r="B77">
        <v>2018</v>
      </c>
      <c r="C77">
        <v>5693.3</v>
      </c>
    </row>
    <row r="78" spans="1:3" x14ac:dyDescent="0.35">
      <c r="A78" t="s">
        <v>27</v>
      </c>
      <c r="B78">
        <v>2019</v>
      </c>
      <c r="C78">
        <v>5577.45</v>
      </c>
    </row>
    <row r="79" spans="1:3" x14ac:dyDescent="0.35">
      <c r="A79" t="s">
        <v>27</v>
      </c>
      <c r="B79">
        <v>2020</v>
      </c>
      <c r="C79">
        <v>5022.8900000000003</v>
      </c>
    </row>
    <row r="80" spans="1:3" x14ac:dyDescent="0.35">
      <c r="A80" t="s">
        <v>27</v>
      </c>
      <c r="B80">
        <v>2021</v>
      </c>
      <c r="C80">
        <v>5563.7</v>
      </c>
    </row>
    <row r="81" spans="1:3" x14ac:dyDescent="0.35">
      <c r="A81" t="s">
        <v>27</v>
      </c>
      <c r="B81">
        <v>2022</v>
      </c>
      <c r="C81">
        <v>5638.18</v>
      </c>
    </row>
    <row r="82" spans="1:3" x14ac:dyDescent="0.35">
      <c r="A82" t="s">
        <v>27</v>
      </c>
      <c r="B82">
        <v>2023</v>
      </c>
      <c r="C82">
        <v>5434.18</v>
      </c>
    </row>
    <row r="83" spans="1:3" x14ac:dyDescent="0.35">
      <c r="A83" t="s">
        <v>28</v>
      </c>
      <c r="B83">
        <v>2015</v>
      </c>
      <c r="C83">
        <v>789.07</v>
      </c>
    </row>
    <row r="84" spans="1:3" x14ac:dyDescent="0.35">
      <c r="A84" t="s">
        <v>28</v>
      </c>
      <c r="B84">
        <v>2016</v>
      </c>
      <c r="C84">
        <v>886.24</v>
      </c>
    </row>
    <row r="85" spans="1:3" x14ac:dyDescent="0.35">
      <c r="A85" t="s">
        <v>28</v>
      </c>
      <c r="B85">
        <v>2017</v>
      </c>
      <c r="C85">
        <v>905.03</v>
      </c>
    </row>
    <row r="86" spans="1:3" x14ac:dyDescent="0.35">
      <c r="A86" t="s">
        <v>28</v>
      </c>
      <c r="B86">
        <v>2018</v>
      </c>
      <c r="C86">
        <v>923.96</v>
      </c>
    </row>
    <row r="87" spans="1:3" x14ac:dyDescent="0.35">
      <c r="A87" t="s">
        <v>28</v>
      </c>
      <c r="B87">
        <v>2019</v>
      </c>
      <c r="C87">
        <v>915.12</v>
      </c>
    </row>
    <row r="88" spans="1:3" x14ac:dyDescent="0.35">
      <c r="A88" t="s">
        <v>28</v>
      </c>
      <c r="B88">
        <v>2020</v>
      </c>
      <c r="C88">
        <v>853.61</v>
      </c>
    </row>
    <row r="89" spans="1:3" x14ac:dyDescent="0.35">
      <c r="A89" t="s">
        <v>28</v>
      </c>
      <c r="B89">
        <v>2021</v>
      </c>
      <c r="C89">
        <v>844.41</v>
      </c>
    </row>
    <row r="90" spans="1:3" x14ac:dyDescent="0.35">
      <c r="A90" t="s">
        <v>28</v>
      </c>
      <c r="B90">
        <v>2022</v>
      </c>
      <c r="C90">
        <v>857.27</v>
      </c>
    </row>
    <row r="91" spans="1:3" x14ac:dyDescent="0.35">
      <c r="A91" t="s">
        <v>28</v>
      </c>
      <c r="B91">
        <v>2023</v>
      </c>
      <c r="C91">
        <v>875.95</v>
      </c>
    </row>
    <row r="92" spans="1:3" x14ac:dyDescent="0.35">
      <c r="A92" t="s">
        <v>29</v>
      </c>
      <c r="B92">
        <v>2015</v>
      </c>
      <c r="C92">
        <v>88.34</v>
      </c>
    </row>
    <row r="93" spans="1:3" x14ac:dyDescent="0.35">
      <c r="A93" t="s">
        <v>29</v>
      </c>
      <c r="B93">
        <v>2016</v>
      </c>
      <c r="C93">
        <v>111.1</v>
      </c>
    </row>
    <row r="94" spans="1:3" x14ac:dyDescent="0.35">
      <c r="A94" t="s">
        <v>29</v>
      </c>
      <c r="B94">
        <v>2017</v>
      </c>
      <c r="C94">
        <v>113.8</v>
      </c>
    </row>
    <row r="95" spans="1:3" x14ac:dyDescent="0.35">
      <c r="A95" t="s">
        <v>29</v>
      </c>
      <c r="B95">
        <v>2018</v>
      </c>
      <c r="C95">
        <v>112.77</v>
      </c>
    </row>
    <row r="96" spans="1:3" x14ac:dyDescent="0.35">
      <c r="A96" t="s">
        <v>29</v>
      </c>
      <c r="B96">
        <v>2019</v>
      </c>
      <c r="C96">
        <v>118.85</v>
      </c>
    </row>
    <row r="97" spans="1:3" x14ac:dyDescent="0.35">
      <c r="A97" t="s">
        <v>29</v>
      </c>
      <c r="B97">
        <v>2020</v>
      </c>
      <c r="C97">
        <v>112.19</v>
      </c>
    </row>
    <row r="98" spans="1:3" x14ac:dyDescent="0.35">
      <c r="A98" t="s">
        <v>29</v>
      </c>
      <c r="B98">
        <v>2021</v>
      </c>
      <c r="C98">
        <v>111.84</v>
      </c>
    </row>
    <row r="99" spans="1:3" x14ac:dyDescent="0.35">
      <c r="A99" t="s">
        <v>29</v>
      </c>
      <c r="B99">
        <v>2022</v>
      </c>
      <c r="C99">
        <v>110.98</v>
      </c>
    </row>
    <row r="100" spans="1:3" x14ac:dyDescent="0.35">
      <c r="A100" t="s">
        <v>29</v>
      </c>
      <c r="B100">
        <v>2023</v>
      </c>
      <c r="C100">
        <v>102.71</v>
      </c>
    </row>
    <row r="101" spans="1:3" x14ac:dyDescent="0.35">
      <c r="A101" t="s">
        <v>30</v>
      </c>
      <c r="B101">
        <v>2015</v>
      </c>
      <c r="C101">
        <v>11103.35</v>
      </c>
    </row>
    <row r="102" spans="1:3" x14ac:dyDescent="0.35">
      <c r="A102" t="s">
        <v>30</v>
      </c>
      <c r="B102">
        <v>2016</v>
      </c>
      <c r="C102">
        <v>10955.02</v>
      </c>
    </row>
    <row r="103" spans="1:3" x14ac:dyDescent="0.35">
      <c r="A103" t="s">
        <v>30</v>
      </c>
      <c r="B103">
        <v>2017</v>
      </c>
      <c r="C103">
        <v>11189.72</v>
      </c>
    </row>
    <row r="104" spans="1:3" x14ac:dyDescent="0.35">
      <c r="A104" t="s">
        <v>30</v>
      </c>
      <c r="B104">
        <v>2018</v>
      </c>
      <c r="C104">
        <v>11662.12</v>
      </c>
    </row>
    <row r="105" spans="1:3" x14ac:dyDescent="0.35">
      <c r="A105" t="s">
        <v>30</v>
      </c>
      <c r="B105">
        <v>2019</v>
      </c>
      <c r="C105">
        <v>11915.69</v>
      </c>
    </row>
    <row r="106" spans="1:3" x14ac:dyDescent="0.35">
      <c r="A106" t="s">
        <v>30</v>
      </c>
      <c r="B106">
        <v>2020</v>
      </c>
      <c r="C106">
        <v>12084.55</v>
      </c>
    </row>
    <row r="107" spans="1:3" x14ac:dyDescent="0.35">
      <c r="A107" t="s">
        <v>30</v>
      </c>
      <c r="B107">
        <v>2021</v>
      </c>
      <c r="C107">
        <v>12665.78</v>
      </c>
    </row>
    <row r="108" spans="1:3" x14ac:dyDescent="0.35">
      <c r="A108" t="s">
        <v>30</v>
      </c>
      <c r="B108">
        <v>2022</v>
      </c>
      <c r="C108">
        <v>12651.27</v>
      </c>
    </row>
    <row r="109" spans="1:3" x14ac:dyDescent="0.35">
      <c r="A109" t="s">
        <v>30</v>
      </c>
      <c r="B109">
        <v>2023</v>
      </c>
      <c r="C109">
        <v>13152.05</v>
      </c>
    </row>
    <row r="110" spans="1:3" x14ac:dyDescent="0.35">
      <c r="A110" t="s">
        <v>31</v>
      </c>
      <c r="B110">
        <v>2015</v>
      </c>
      <c r="C110">
        <v>11103.35</v>
      </c>
    </row>
    <row r="111" spans="1:3" x14ac:dyDescent="0.35">
      <c r="A111" t="s">
        <v>31</v>
      </c>
      <c r="B111">
        <v>2016</v>
      </c>
      <c r="C111">
        <v>10955.02</v>
      </c>
    </row>
    <row r="112" spans="1:3" x14ac:dyDescent="0.35">
      <c r="A112" t="s">
        <v>31</v>
      </c>
      <c r="B112">
        <v>2017</v>
      </c>
      <c r="C112">
        <v>11189.72</v>
      </c>
    </row>
    <row r="113" spans="1:3" x14ac:dyDescent="0.35">
      <c r="A113" t="s">
        <v>31</v>
      </c>
      <c r="B113">
        <v>2018</v>
      </c>
      <c r="C113">
        <v>11662.12</v>
      </c>
    </row>
    <row r="114" spans="1:3" x14ac:dyDescent="0.35">
      <c r="A114" t="s">
        <v>31</v>
      </c>
      <c r="B114">
        <v>2019</v>
      </c>
      <c r="C114">
        <v>11915.69</v>
      </c>
    </row>
    <row r="115" spans="1:3" x14ac:dyDescent="0.35">
      <c r="A115" t="s">
        <v>31</v>
      </c>
      <c r="B115">
        <v>2020</v>
      </c>
      <c r="C115">
        <v>12084.55</v>
      </c>
    </row>
    <row r="116" spans="1:3" x14ac:dyDescent="0.35">
      <c r="A116" t="s">
        <v>31</v>
      </c>
      <c r="B116">
        <v>2021</v>
      </c>
      <c r="C116">
        <v>12665.78</v>
      </c>
    </row>
    <row r="117" spans="1:3" x14ac:dyDescent="0.35">
      <c r="A117" t="s">
        <v>31</v>
      </c>
      <c r="B117">
        <v>2022</v>
      </c>
      <c r="C117">
        <v>12651.27</v>
      </c>
    </row>
    <row r="118" spans="1:3" x14ac:dyDescent="0.35">
      <c r="A118" t="s">
        <v>31</v>
      </c>
      <c r="B118">
        <v>2023</v>
      </c>
      <c r="C118">
        <v>13152.05</v>
      </c>
    </row>
    <row r="119" spans="1:3" x14ac:dyDescent="0.35">
      <c r="A119" t="s">
        <v>32</v>
      </c>
      <c r="B119">
        <v>2015</v>
      </c>
      <c r="C119">
        <v>251.67</v>
      </c>
    </row>
    <row r="120" spans="1:3" x14ac:dyDescent="0.35">
      <c r="A120" t="s">
        <v>32</v>
      </c>
      <c r="B120">
        <v>2016</v>
      </c>
      <c r="C120">
        <v>288.14999999999998</v>
      </c>
    </row>
    <row r="121" spans="1:3" x14ac:dyDescent="0.35">
      <c r="A121" t="s">
        <v>32</v>
      </c>
      <c r="B121">
        <v>2017</v>
      </c>
      <c r="C121">
        <v>285.26</v>
      </c>
    </row>
    <row r="122" spans="1:3" x14ac:dyDescent="0.35">
      <c r="A122" t="s">
        <v>32</v>
      </c>
      <c r="B122">
        <v>2018</v>
      </c>
      <c r="C122">
        <v>293.89</v>
      </c>
    </row>
    <row r="123" spans="1:3" x14ac:dyDescent="0.35">
      <c r="A123" t="s">
        <v>32</v>
      </c>
      <c r="B123">
        <v>2019</v>
      </c>
      <c r="C123">
        <v>296.25</v>
      </c>
    </row>
    <row r="124" spans="1:3" x14ac:dyDescent="0.35">
      <c r="A124" t="s">
        <v>32</v>
      </c>
      <c r="B124">
        <v>2020</v>
      </c>
      <c r="C124">
        <v>288.5</v>
      </c>
    </row>
    <row r="125" spans="1:3" x14ac:dyDescent="0.35">
      <c r="A125" t="s">
        <v>32</v>
      </c>
      <c r="B125">
        <v>2021</v>
      </c>
      <c r="C125">
        <v>284.58999999999997</v>
      </c>
    </row>
    <row r="126" spans="1:3" x14ac:dyDescent="0.35">
      <c r="A126" t="s">
        <v>32</v>
      </c>
      <c r="B126">
        <v>2022</v>
      </c>
      <c r="C126">
        <v>289.18</v>
      </c>
    </row>
    <row r="127" spans="1:3" x14ac:dyDescent="0.35">
      <c r="A127" t="s">
        <v>32</v>
      </c>
      <c r="B127">
        <v>2023</v>
      </c>
      <c r="C127">
        <v>294.08</v>
      </c>
    </row>
    <row r="128" spans="1:3" x14ac:dyDescent="0.35">
      <c r="A128" t="s">
        <v>33</v>
      </c>
      <c r="B128">
        <v>2015</v>
      </c>
      <c r="C128">
        <v>47.1</v>
      </c>
    </row>
    <row r="129" spans="1:3" x14ac:dyDescent="0.35">
      <c r="A129" t="s">
        <v>33</v>
      </c>
      <c r="B129">
        <v>2016</v>
      </c>
      <c r="C129">
        <v>51.43</v>
      </c>
    </row>
    <row r="130" spans="1:3" x14ac:dyDescent="0.35">
      <c r="A130" t="s">
        <v>33</v>
      </c>
      <c r="B130">
        <v>2017</v>
      </c>
      <c r="C130">
        <v>49.09</v>
      </c>
    </row>
    <row r="131" spans="1:3" x14ac:dyDescent="0.35">
      <c r="A131" t="s">
        <v>33</v>
      </c>
      <c r="B131">
        <v>2018</v>
      </c>
      <c r="C131">
        <v>48.81</v>
      </c>
    </row>
    <row r="132" spans="1:3" x14ac:dyDescent="0.35">
      <c r="A132" t="s">
        <v>33</v>
      </c>
      <c r="B132">
        <v>2019</v>
      </c>
      <c r="C132">
        <v>45.11</v>
      </c>
    </row>
    <row r="133" spans="1:3" x14ac:dyDescent="0.35">
      <c r="A133" t="s">
        <v>33</v>
      </c>
      <c r="B133">
        <v>2020</v>
      </c>
      <c r="C133">
        <v>42.86</v>
      </c>
    </row>
    <row r="134" spans="1:3" x14ac:dyDescent="0.35">
      <c r="A134" t="s">
        <v>33</v>
      </c>
      <c r="B134">
        <v>2021</v>
      </c>
      <c r="C134">
        <v>42.36</v>
      </c>
    </row>
    <row r="135" spans="1:3" x14ac:dyDescent="0.35">
      <c r="A135" t="s">
        <v>33</v>
      </c>
      <c r="B135">
        <v>2022</v>
      </c>
      <c r="C135">
        <v>40.64</v>
      </c>
    </row>
    <row r="136" spans="1:3" x14ac:dyDescent="0.35">
      <c r="A136" t="s">
        <v>33</v>
      </c>
      <c r="B136">
        <v>2023</v>
      </c>
      <c r="C136">
        <v>38.04</v>
      </c>
    </row>
    <row r="137" spans="1:3" x14ac:dyDescent="0.35">
      <c r="A137" t="s">
        <v>34</v>
      </c>
      <c r="B137">
        <v>2015</v>
      </c>
      <c r="C137">
        <v>678.95</v>
      </c>
    </row>
    <row r="138" spans="1:3" x14ac:dyDescent="0.35">
      <c r="A138" t="s">
        <v>34</v>
      </c>
      <c r="B138">
        <v>2016</v>
      </c>
      <c r="C138">
        <v>722.32</v>
      </c>
    </row>
    <row r="139" spans="1:3" x14ac:dyDescent="0.35">
      <c r="A139" t="s">
        <v>34</v>
      </c>
      <c r="B139">
        <v>2017</v>
      </c>
      <c r="C139">
        <v>720.16</v>
      </c>
    </row>
    <row r="140" spans="1:3" x14ac:dyDescent="0.35">
      <c r="A140" t="s">
        <v>34</v>
      </c>
      <c r="B140">
        <v>2018</v>
      </c>
      <c r="C140">
        <v>703.37</v>
      </c>
    </row>
    <row r="141" spans="1:3" x14ac:dyDescent="0.35">
      <c r="A141" t="s">
        <v>34</v>
      </c>
      <c r="B141">
        <v>2019</v>
      </c>
      <c r="C141">
        <v>717.6</v>
      </c>
    </row>
    <row r="142" spans="1:3" x14ac:dyDescent="0.35">
      <c r="A142" t="s">
        <v>34</v>
      </c>
      <c r="B142">
        <v>2020</v>
      </c>
      <c r="C142">
        <v>664.85</v>
      </c>
    </row>
    <row r="143" spans="1:3" x14ac:dyDescent="0.35">
      <c r="A143" t="s">
        <v>34</v>
      </c>
      <c r="B143">
        <v>2021</v>
      </c>
      <c r="C143">
        <v>676.79</v>
      </c>
    </row>
    <row r="144" spans="1:3" x14ac:dyDescent="0.35">
      <c r="A144" t="s">
        <v>34</v>
      </c>
      <c r="B144">
        <v>2022</v>
      </c>
      <c r="C144">
        <v>708.03</v>
      </c>
    </row>
    <row r="145" spans="1:3" x14ac:dyDescent="0.35">
      <c r="A145" t="s">
        <v>34</v>
      </c>
      <c r="B145">
        <v>2023</v>
      </c>
      <c r="C145">
        <v>731.02</v>
      </c>
    </row>
    <row r="146" spans="1:3" x14ac:dyDescent="0.35">
      <c r="A146" t="s">
        <v>35</v>
      </c>
      <c r="B146">
        <v>2015</v>
      </c>
      <c r="C146">
        <v>3242.91</v>
      </c>
    </row>
    <row r="147" spans="1:3" x14ac:dyDescent="0.35">
      <c r="A147" t="s">
        <v>35</v>
      </c>
      <c r="B147">
        <v>2016</v>
      </c>
      <c r="C147">
        <v>3427.84</v>
      </c>
    </row>
    <row r="148" spans="1:3" x14ac:dyDescent="0.35">
      <c r="A148" t="s">
        <v>35</v>
      </c>
      <c r="B148">
        <v>2017</v>
      </c>
      <c r="C148">
        <v>3447.15</v>
      </c>
    </row>
    <row r="149" spans="1:3" x14ac:dyDescent="0.35">
      <c r="A149" t="s">
        <v>35</v>
      </c>
      <c r="B149">
        <v>2018</v>
      </c>
      <c r="C149">
        <v>3362.93</v>
      </c>
    </row>
    <row r="150" spans="1:3" x14ac:dyDescent="0.35">
      <c r="A150" t="s">
        <v>35</v>
      </c>
      <c r="B150">
        <v>2019</v>
      </c>
      <c r="C150">
        <v>3220.53</v>
      </c>
    </row>
    <row r="151" spans="1:3" x14ac:dyDescent="0.35">
      <c r="A151" t="s">
        <v>35</v>
      </c>
      <c r="B151">
        <v>2020</v>
      </c>
      <c r="C151">
        <v>2955.73</v>
      </c>
    </row>
    <row r="152" spans="1:3" x14ac:dyDescent="0.35">
      <c r="A152" t="s">
        <v>35</v>
      </c>
      <c r="B152">
        <v>2021</v>
      </c>
      <c r="C152">
        <v>3317.97</v>
      </c>
    </row>
    <row r="153" spans="1:3" x14ac:dyDescent="0.35">
      <c r="A153" t="s">
        <v>35</v>
      </c>
      <c r="B153">
        <v>2022</v>
      </c>
      <c r="C153">
        <v>3247.8</v>
      </c>
    </row>
    <row r="154" spans="1:3" x14ac:dyDescent="0.35">
      <c r="A154" t="s">
        <v>35</v>
      </c>
      <c r="B154">
        <v>2023</v>
      </c>
      <c r="C154">
        <v>3027.98</v>
      </c>
    </row>
    <row r="155" spans="1:3" x14ac:dyDescent="0.35">
      <c r="A155" t="s">
        <v>36</v>
      </c>
      <c r="B155">
        <v>2015</v>
      </c>
      <c r="C155">
        <v>14.27</v>
      </c>
    </row>
    <row r="156" spans="1:3" x14ac:dyDescent="0.35">
      <c r="A156" t="s">
        <v>36</v>
      </c>
      <c r="B156">
        <v>2016</v>
      </c>
      <c r="C156">
        <v>27.88</v>
      </c>
    </row>
    <row r="157" spans="1:3" x14ac:dyDescent="0.35">
      <c r="A157" t="s">
        <v>36</v>
      </c>
      <c r="B157">
        <v>2017</v>
      </c>
      <c r="C157">
        <v>28.81</v>
      </c>
    </row>
    <row r="158" spans="1:3" x14ac:dyDescent="0.35">
      <c r="A158" t="s">
        <v>36</v>
      </c>
      <c r="B158">
        <v>2018</v>
      </c>
      <c r="C158">
        <v>27.8</v>
      </c>
    </row>
    <row r="159" spans="1:3" x14ac:dyDescent="0.35">
      <c r="A159" t="s">
        <v>36</v>
      </c>
      <c r="B159">
        <v>2019</v>
      </c>
      <c r="C159">
        <v>22.16</v>
      </c>
    </row>
    <row r="160" spans="1:3" x14ac:dyDescent="0.35">
      <c r="A160" t="s">
        <v>36</v>
      </c>
      <c r="B160">
        <v>2020</v>
      </c>
      <c r="C160">
        <v>19.100000000000001</v>
      </c>
    </row>
    <row r="161" spans="1:3" x14ac:dyDescent="0.35">
      <c r="A161" t="s">
        <v>36</v>
      </c>
      <c r="B161">
        <v>2021</v>
      </c>
      <c r="C161">
        <v>20.72</v>
      </c>
    </row>
    <row r="162" spans="1:3" x14ac:dyDescent="0.35">
      <c r="A162" t="s">
        <v>36</v>
      </c>
      <c r="B162">
        <v>2022</v>
      </c>
      <c r="C162">
        <v>22.3</v>
      </c>
    </row>
    <row r="163" spans="1:3" x14ac:dyDescent="0.35">
      <c r="A163" t="s">
        <v>36</v>
      </c>
      <c r="B163">
        <v>2023</v>
      </c>
      <c r="C163">
        <v>18.86</v>
      </c>
    </row>
    <row r="164" spans="1:3" x14ac:dyDescent="0.35">
      <c r="A164" t="s">
        <v>37</v>
      </c>
      <c r="B164">
        <v>2015</v>
      </c>
      <c r="C164">
        <v>5.92</v>
      </c>
    </row>
    <row r="165" spans="1:3" x14ac:dyDescent="0.35">
      <c r="A165" t="s">
        <v>37</v>
      </c>
      <c r="B165">
        <v>2016</v>
      </c>
      <c r="C165">
        <v>51.74</v>
      </c>
    </row>
    <row r="166" spans="1:3" x14ac:dyDescent="0.35">
      <c r="A166" t="s">
        <v>37</v>
      </c>
      <c r="B166">
        <v>2017</v>
      </c>
      <c r="C166">
        <v>49.15</v>
      </c>
    </row>
    <row r="167" spans="1:3" x14ac:dyDescent="0.35">
      <c r="A167" t="s">
        <v>37</v>
      </c>
      <c r="B167">
        <v>2018</v>
      </c>
      <c r="C167">
        <v>50.47</v>
      </c>
    </row>
    <row r="168" spans="1:3" x14ac:dyDescent="0.35">
      <c r="A168" t="s">
        <v>37</v>
      </c>
      <c r="B168">
        <v>2019</v>
      </c>
      <c r="C168">
        <v>47.57</v>
      </c>
    </row>
    <row r="169" spans="1:3" x14ac:dyDescent="0.35">
      <c r="A169" t="s">
        <v>37</v>
      </c>
      <c r="B169">
        <v>2020</v>
      </c>
      <c r="C169">
        <v>42.74</v>
      </c>
    </row>
    <row r="170" spans="1:3" x14ac:dyDescent="0.35">
      <c r="A170" t="s">
        <v>37</v>
      </c>
      <c r="B170">
        <v>2021</v>
      </c>
      <c r="C170">
        <v>60.99</v>
      </c>
    </row>
    <row r="171" spans="1:3" x14ac:dyDescent="0.35">
      <c r="A171" t="s">
        <v>37</v>
      </c>
      <c r="B171">
        <v>2022</v>
      </c>
      <c r="C171">
        <v>58.81</v>
      </c>
    </row>
    <row r="172" spans="1:3" x14ac:dyDescent="0.35">
      <c r="A172" t="s">
        <v>37</v>
      </c>
      <c r="B172">
        <v>2023</v>
      </c>
      <c r="C172">
        <v>54.56</v>
      </c>
    </row>
    <row r="173" spans="1:3" x14ac:dyDescent="0.35">
      <c r="A173" t="s">
        <v>38</v>
      </c>
      <c r="B173">
        <v>2015</v>
      </c>
      <c r="C173">
        <v>374.23</v>
      </c>
    </row>
    <row r="174" spans="1:3" x14ac:dyDescent="0.35">
      <c r="A174" t="s">
        <v>38</v>
      </c>
      <c r="B174">
        <v>2016</v>
      </c>
      <c r="C174">
        <v>409.88</v>
      </c>
    </row>
    <row r="175" spans="1:3" x14ac:dyDescent="0.35">
      <c r="A175" t="s">
        <v>38</v>
      </c>
      <c r="B175">
        <v>2017</v>
      </c>
      <c r="C175">
        <v>414.62</v>
      </c>
    </row>
    <row r="176" spans="1:3" x14ac:dyDescent="0.35">
      <c r="A176" t="s">
        <v>38</v>
      </c>
      <c r="B176">
        <v>2018</v>
      </c>
      <c r="C176">
        <v>400</v>
      </c>
    </row>
    <row r="177" spans="1:3" x14ac:dyDescent="0.35">
      <c r="A177" t="s">
        <v>38</v>
      </c>
      <c r="B177">
        <v>2019</v>
      </c>
      <c r="C177">
        <v>390.49</v>
      </c>
    </row>
    <row r="178" spans="1:3" x14ac:dyDescent="0.35">
      <c r="A178" t="s">
        <v>38</v>
      </c>
      <c r="B178">
        <v>2020</v>
      </c>
      <c r="C178">
        <v>351.59</v>
      </c>
    </row>
    <row r="179" spans="1:3" x14ac:dyDescent="0.35">
      <c r="A179" t="s">
        <v>38</v>
      </c>
      <c r="B179">
        <v>2021</v>
      </c>
      <c r="C179">
        <v>383.4</v>
      </c>
    </row>
    <row r="180" spans="1:3" x14ac:dyDescent="0.35">
      <c r="A180" t="s">
        <v>38</v>
      </c>
      <c r="B180">
        <v>2022</v>
      </c>
      <c r="C180">
        <v>370.91</v>
      </c>
    </row>
    <row r="181" spans="1:3" x14ac:dyDescent="0.35">
      <c r="A181" t="s">
        <v>38</v>
      </c>
      <c r="B181">
        <v>2023</v>
      </c>
      <c r="C181">
        <v>347.38</v>
      </c>
    </row>
    <row r="182" spans="1:3" x14ac:dyDescent="0.35">
      <c r="A182" t="s">
        <v>39</v>
      </c>
      <c r="B182">
        <v>2015</v>
      </c>
      <c r="C182">
        <v>11103.35</v>
      </c>
    </row>
    <row r="183" spans="1:3" x14ac:dyDescent="0.35">
      <c r="A183" t="s">
        <v>39</v>
      </c>
      <c r="B183">
        <v>2016</v>
      </c>
      <c r="C183">
        <v>10955.02</v>
      </c>
    </row>
    <row r="184" spans="1:3" x14ac:dyDescent="0.35">
      <c r="A184" t="s">
        <v>39</v>
      </c>
      <c r="B184">
        <v>2017</v>
      </c>
      <c r="C184">
        <v>11189.72</v>
      </c>
    </row>
    <row r="185" spans="1:3" x14ac:dyDescent="0.35">
      <c r="A185" t="s">
        <v>39</v>
      </c>
      <c r="B185">
        <v>2018</v>
      </c>
      <c r="C185">
        <v>11662.12</v>
      </c>
    </row>
    <row r="186" spans="1:3" x14ac:dyDescent="0.35">
      <c r="A186" t="s">
        <v>39</v>
      </c>
      <c r="B186">
        <v>2019</v>
      </c>
      <c r="C186">
        <v>11915.69</v>
      </c>
    </row>
    <row r="187" spans="1:3" x14ac:dyDescent="0.35">
      <c r="A187" t="s">
        <v>39</v>
      </c>
      <c r="B187">
        <v>2020</v>
      </c>
      <c r="C187">
        <v>12084.55</v>
      </c>
    </row>
    <row r="188" spans="1:3" x14ac:dyDescent="0.35">
      <c r="A188" t="s">
        <v>39</v>
      </c>
      <c r="B188">
        <v>2021</v>
      </c>
      <c r="C188">
        <v>12665.78</v>
      </c>
    </row>
    <row r="189" spans="1:3" x14ac:dyDescent="0.35">
      <c r="A189" t="s">
        <v>39</v>
      </c>
      <c r="B189">
        <v>2022</v>
      </c>
      <c r="C189">
        <v>12651.27</v>
      </c>
    </row>
    <row r="190" spans="1:3" x14ac:dyDescent="0.35">
      <c r="A190" t="s">
        <v>39</v>
      </c>
      <c r="B190">
        <v>2023</v>
      </c>
      <c r="C190">
        <v>13152.05</v>
      </c>
    </row>
    <row r="191" spans="1:3" x14ac:dyDescent="0.35">
      <c r="A191" t="s">
        <v>40</v>
      </c>
      <c r="B191">
        <v>2015</v>
      </c>
      <c r="C191">
        <v>812.94</v>
      </c>
    </row>
    <row r="192" spans="1:3" x14ac:dyDescent="0.35">
      <c r="A192" t="s">
        <v>40</v>
      </c>
      <c r="B192">
        <v>2016</v>
      </c>
      <c r="C192">
        <v>870.61</v>
      </c>
    </row>
    <row r="193" spans="1:3" x14ac:dyDescent="0.35">
      <c r="A193" t="s">
        <v>40</v>
      </c>
      <c r="B193">
        <v>2017</v>
      </c>
      <c r="C193">
        <v>853.99</v>
      </c>
    </row>
    <row r="194" spans="1:3" x14ac:dyDescent="0.35">
      <c r="A194" t="s">
        <v>40</v>
      </c>
      <c r="B194">
        <v>2018</v>
      </c>
      <c r="C194">
        <v>824.02</v>
      </c>
    </row>
    <row r="195" spans="1:3" x14ac:dyDescent="0.35">
      <c r="A195" t="s">
        <v>40</v>
      </c>
      <c r="B195">
        <v>2019</v>
      </c>
      <c r="C195">
        <v>772.93</v>
      </c>
    </row>
    <row r="196" spans="1:3" x14ac:dyDescent="0.35">
      <c r="A196" t="s">
        <v>40</v>
      </c>
      <c r="B196">
        <v>2020</v>
      </c>
      <c r="C196">
        <v>719.09</v>
      </c>
    </row>
    <row r="197" spans="1:3" x14ac:dyDescent="0.35">
      <c r="A197" t="s">
        <v>40</v>
      </c>
      <c r="B197">
        <v>2021</v>
      </c>
      <c r="C197">
        <v>741.56</v>
      </c>
    </row>
    <row r="198" spans="1:3" x14ac:dyDescent="0.35">
      <c r="A198" t="s">
        <v>40</v>
      </c>
      <c r="B198">
        <v>2022</v>
      </c>
      <c r="C198">
        <v>731.26</v>
      </c>
    </row>
    <row r="199" spans="1:3" x14ac:dyDescent="0.35">
      <c r="A199" t="s">
        <v>40</v>
      </c>
      <c r="B199">
        <v>2023</v>
      </c>
      <c r="C199">
        <v>668.63</v>
      </c>
    </row>
    <row r="200" spans="1:3" x14ac:dyDescent="0.35">
      <c r="A200" t="s">
        <v>41</v>
      </c>
      <c r="B200">
        <v>2015</v>
      </c>
      <c r="C200">
        <v>678.95</v>
      </c>
    </row>
    <row r="201" spans="1:3" x14ac:dyDescent="0.35">
      <c r="A201" t="s">
        <v>41</v>
      </c>
      <c r="B201">
        <v>2016</v>
      </c>
      <c r="C201">
        <v>722.32</v>
      </c>
    </row>
    <row r="202" spans="1:3" x14ac:dyDescent="0.35">
      <c r="A202" t="s">
        <v>41</v>
      </c>
      <c r="B202">
        <v>2017</v>
      </c>
      <c r="C202">
        <v>720.16</v>
      </c>
    </row>
    <row r="203" spans="1:3" x14ac:dyDescent="0.35">
      <c r="A203" t="s">
        <v>41</v>
      </c>
      <c r="B203">
        <v>2018</v>
      </c>
      <c r="C203">
        <v>703.37</v>
      </c>
    </row>
    <row r="204" spans="1:3" x14ac:dyDescent="0.35">
      <c r="A204" t="s">
        <v>41</v>
      </c>
      <c r="B204">
        <v>2019</v>
      </c>
      <c r="C204">
        <v>717.6</v>
      </c>
    </row>
    <row r="205" spans="1:3" x14ac:dyDescent="0.35">
      <c r="A205" t="s">
        <v>41</v>
      </c>
      <c r="B205">
        <v>2020</v>
      </c>
      <c r="C205">
        <v>664.85</v>
      </c>
    </row>
    <row r="206" spans="1:3" x14ac:dyDescent="0.35">
      <c r="A206" t="s">
        <v>41</v>
      </c>
      <c r="B206">
        <v>2021</v>
      </c>
      <c r="C206">
        <v>676.79</v>
      </c>
    </row>
    <row r="207" spans="1:3" x14ac:dyDescent="0.35">
      <c r="A207" t="s">
        <v>41</v>
      </c>
      <c r="B207">
        <v>2022</v>
      </c>
      <c r="C207">
        <v>708.03</v>
      </c>
    </row>
    <row r="208" spans="1:3" x14ac:dyDescent="0.35">
      <c r="A208" t="s">
        <v>41</v>
      </c>
      <c r="B208">
        <v>2023</v>
      </c>
      <c r="C208">
        <v>731.02</v>
      </c>
    </row>
    <row r="209" spans="1:3" x14ac:dyDescent="0.35">
      <c r="A209" t="s">
        <v>42</v>
      </c>
      <c r="B209">
        <v>2015</v>
      </c>
      <c r="C209">
        <v>11103.35</v>
      </c>
    </row>
    <row r="210" spans="1:3" x14ac:dyDescent="0.35">
      <c r="A210" t="s">
        <v>42</v>
      </c>
      <c r="B210">
        <v>2016</v>
      </c>
      <c r="C210">
        <v>10955.02</v>
      </c>
    </row>
    <row r="211" spans="1:3" x14ac:dyDescent="0.35">
      <c r="A211" t="s">
        <v>42</v>
      </c>
      <c r="B211">
        <v>2017</v>
      </c>
      <c r="C211">
        <v>11189.72</v>
      </c>
    </row>
    <row r="212" spans="1:3" x14ac:dyDescent="0.35">
      <c r="A212" t="s">
        <v>42</v>
      </c>
      <c r="B212">
        <v>2018</v>
      </c>
      <c r="C212">
        <v>11662.12</v>
      </c>
    </row>
    <row r="213" spans="1:3" x14ac:dyDescent="0.35">
      <c r="A213" t="s">
        <v>42</v>
      </c>
      <c r="B213">
        <v>2019</v>
      </c>
      <c r="C213">
        <v>11915.69</v>
      </c>
    </row>
    <row r="214" spans="1:3" x14ac:dyDescent="0.35">
      <c r="A214" t="s">
        <v>42</v>
      </c>
      <c r="B214">
        <v>2020</v>
      </c>
      <c r="C214">
        <v>12084.55</v>
      </c>
    </row>
    <row r="215" spans="1:3" x14ac:dyDescent="0.35">
      <c r="A215" t="s">
        <v>42</v>
      </c>
      <c r="B215">
        <v>2021</v>
      </c>
      <c r="C215">
        <v>12665.78</v>
      </c>
    </row>
    <row r="216" spans="1:3" x14ac:dyDescent="0.35">
      <c r="A216" t="s">
        <v>42</v>
      </c>
      <c r="B216">
        <v>2022</v>
      </c>
      <c r="C216">
        <v>12651.27</v>
      </c>
    </row>
    <row r="217" spans="1:3" x14ac:dyDescent="0.35">
      <c r="A217" t="s">
        <v>42</v>
      </c>
      <c r="B217">
        <v>2023</v>
      </c>
      <c r="C217">
        <v>13152.05</v>
      </c>
    </row>
    <row r="218" spans="1:3" x14ac:dyDescent="0.35">
      <c r="A218" t="s">
        <v>43</v>
      </c>
      <c r="B218">
        <v>2015</v>
      </c>
      <c r="C218">
        <v>11103.35</v>
      </c>
    </row>
    <row r="219" spans="1:3" x14ac:dyDescent="0.35">
      <c r="A219" t="s">
        <v>43</v>
      </c>
      <c r="B219">
        <v>2016</v>
      </c>
      <c r="C219">
        <v>10955.02</v>
      </c>
    </row>
    <row r="220" spans="1:3" x14ac:dyDescent="0.35">
      <c r="A220" t="s">
        <v>43</v>
      </c>
      <c r="B220">
        <v>2017</v>
      </c>
      <c r="C220">
        <v>11189.72</v>
      </c>
    </row>
    <row r="221" spans="1:3" x14ac:dyDescent="0.35">
      <c r="A221" t="s">
        <v>43</v>
      </c>
      <c r="B221">
        <v>2018</v>
      </c>
      <c r="C221">
        <v>11662.12</v>
      </c>
    </row>
    <row r="222" spans="1:3" x14ac:dyDescent="0.35">
      <c r="A222" t="s">
        <v>43</v>
      </c>
      <c r="B222">
        <v>2019</v>
      </c>
      <c r="C222">
        <v>11915.69</v>
      </c>
    </row>
    <row r="223" spans="1:3" x14ac:dyDescent="0.35">
      <c r="A223" t="s">
        <v>43</v>
      </c>
      <c r="B223">
        <v>2020</v>
      </c>
      <c r="C223">
        <v>12084.55</v>
      </c>
    </row>
    <row r="224" spans="1:3" x14ac:dyDescent="0.35">
      <c r="A224" t="s">
        <v>43</v>
      </c>
      <c r="B224">
        <v>2021</v>
      </c>
      <c r="C224">
        <v>12665.78</v>
      </c>
    </row>
    <row r="225" spans="1:3" x14ac:dyDescent="0.35">
      <c r="A225" t="s">
        <v>43</v>
      </c>
      <c r="B225">
        <v>2022</v>
      </c>
      <c r="C225">
        <v>12651.27</v>
      </c>
    </row>
    <row r="226" spans="1:3" x14ac:dyDescent="0.35">
      <c r="A226" t="s">
        <v>43</v>
      </c>
      <c r="B226">
        <v>2023</v>
      </c>
      <c r="C226">
        <v>13152.05</v>
      </c>
    </row>
    <row r="227" spans="1:3" x14ac:dyDescent="0.35">
      <c r="A227" t="s">
        <v>44</v>
      </c>
      <c r="B227">
        <v>2015</v>
      </c>
      <c r="C227">
        <v>61.06</v>
      </c>
    </row>
    <row r="228" spans="1:3" x14ac:dyDescent="0.35">
      <c r="A228" t="s">
        <v>44</v>
      </c>
      <c r="B228">
        <v>2016</v>
      </c>
      <c r="C228">
        <v>61.71</v>
      </c>
    </row>
    <row r="229" spans="1:3" x14ac:dyDescent="0.35">
      <c r="A229" t="s">
        <v>44</v>
      </c>
      <c r="B229">
        <v>2017</v>
      </c>
      <c r="C229">
        <v>63.9</v>
      </c>
    </row>
    <row r="230" spans="1:3" x14ac:dyDescent="0.35">
      <c r="A230" t="s">
        <v>44</v>
      </c>
      <c r="B230">
        <v>2018</v>
      </c>
      <c r="C230">
        <v>63.89</v>
      </c>
    </row>
    <row r="231" spans="1:3" x14ac:dyDescent="0.35">
      <c r="A231" t="s">
        <v>44</v>
      </c>
      <c r="B231">
        <v>2019</v>
      </c>
      <c r="C231">
        <v>63.89</v>
      </c>
    </row>
    <row r="232" spans="1:3" x14ac:dyDescent="0.35">
      <c r="A232" t="s">
        <v>44</v>
      </c>
      <c r="B232">
        <v>2020</v>
      </c>
      <c r="C232">
        <v>62.29</v>
      </c>
    </row>
    <row r="233" spans="1:3" x14ac:dyDescent="0.35">
      <c r="A233" t="s">
        <v>44</v>
      </c>
      <c r="B233">
        <v>2021</v>
      </c>
      <c r="C233">
        <v>63.66</v>
      </c>
    </row>
    <row r="234" spans="1:3" x14ac:dyDescent="0.35">
      <c r="A234" t="s">
        <v>44</v>
      </c>
      <c r="B234">
        <v>2022</v>
      </c>
      <c r="C234">
        <v>59.83</v>
      </c>
    </row>
    <row r="235" spans="1:3" x14ac:dyDescent="0.35">
      <c r="A235" t="s">
        <v>44</v>
      </c>
      <c r="B235">
        <v>2023</v>
      </c>
      <c r="C235">
        <v>54.93</v>
      </c>
    </row>
    <row r="236" spans="1:3" x14ac:dyDescent="0.35">
      <c r="A236" t="s">
        <v>45</v>
      </c>
      <c r="B236">
        <v>2015</v>
      </c>
      <c r="C236">
        <v>3.86</v>
      </c>
    </row>
    <row r="237" spans="1:3" x14ac:dyDescent="0.35">
      <c r="A237" t="s">
        <v>45</v>
      </c>
      <c r="B237">
        <v>2016</v>
      </c>
      <c r="C237">
        <v>3.45</v>
      </c>
    </row>
    <row r="238" spans="1:3" x14ac:dyDescent="0.35">
      <c r="A238" t="s">
        <v>45</v>
      </c>
      <c r="B238">
        <v>2017</v>
      </c>
      <c r="C238">
        <v>3.46</v>
      </c>
    </row>
    <row r="239" spans="1:3" x14ac:dyDescent="0.35">
      <c r="A239" t="s">
        <v>45</v>
      </c>
      <c r="B239">
        <v>2018</v>
      </c>
      <c r="C239">
        <v>3.51</v>
      </c>
    </row>
    <row r="240" spans="1:3" x14ac:dyDescent="0.35">
      <c r="A240" t="s">
        <v>45</v>
      </c>
      <c r="B240">
        <v>2019</v>
      </c>
      <c r="C240">
        <v>3.43</v>
      </c>
    </row>
    <row r="241" spans="1:3" x14ac:dyDescent="0.35">
      <c r="A241" t="s">
        <v>45</v>
      </c>
      <c r="B241">
        <v>2020</v>
      </c>
      <c r="C241">
        <v>3.25</v>
      </c>
    </row>
    <row r="242" spans="1:3" x14ac:dyDescent="0.35">
      <c r="A242" t="s">
        <v>45</v>
      </c>
      <c r="B242">
        <v>2021</v>
      </c>
      <c r="C242">
        <v>3.35</v>
      </c>
    </row>
    <row r="243" spans="1:3" x14ac:dyDescent="0.35">
      <c r="A243" t="s">
        <v>45</v>
      </c>
      <c r="B243">
        <v>2022</v>
      </c>
      <c r="C243">
        <v>3.38</v>
      </c>
    </row>
    <row r="244" spans="1:3" x14ac:dyDescent="0.35">
      <c r="A244" t="s">
        <v>45</v>
      </c>
      <c r="B244">
        <v>2023</v>
      </c>
      <c r="C244">
        <v>3.35</v>
      </c>
    </row>
    <row r="245" spans="1:3" x14ac:dyDescent="0.35">
      <c r="A245" t="s">
        <v>46</v>
      </c>
      <c r="B245">
        <v>2015</v>
      </c>
      <c r="C245">
        <v>1777</v>
      </c>
    </row>
    <row r="246" spans="1:3" x14ac:dyDescent="0.35">
      <c r="A246" t="s">
        <v>46</v>
      </c>
      <c r="B246">
        <v>2016</v>
      </c>
      <c r="C246">
        <v>940.71</v>
      </c>
    </row>
    <row r="247" spans="1:3" x14ac:dyDescent="0.35">
      <c r="A247" t="s">
        <v>46</v>
      </c>
      <c r="B247">
        <v>2017</v>
      </c>
      <c r="C247">
        <v>951.96</v>
      </c>
    </row>
    <row r="248" spans="1:3" x14ac:dyDescent="0.35">
      <c r="A248" t="s">
        <v>46</v>
      </c>
      <c r="B248">
        <v>2018</v>
      </c>
      <c r="C248">
        <v>1200.18</v>
      </c>
    </row>
    <row r="249" spans="1:3" x14ac:dyDescent="0.35">
      <c r="A249" t="s">
        <v>46</v>
      </c>
      <c r="B249">
        <v>2019</v>
      </c>
      <c r="C249">
        <v>1445.66</v>
      </c>
    </row>
    <row r="250" spans="1:3" x14ac:dyDescent="0.35">
      <c r="A250" t="s">
        <v>46</v>
      </c>
      <c r="B250">
        <v>2020</v>
      </c>
      <c r="C250">
        <v>1027.6199999999999</v>
      </c>
    </row>
    <row r="251" spans="1:3" x14ac:dyDescent="0.35">
      <c r="A251" t="s">
        <v>46</v>
      </c>
      <c r="B251">
        <v>2021</v>
      </c>
      <c r="C251">
        <v>1235.21</v>
      </c>
    </row>
    <row r="252" spans="1:3" x14ac:dyDescent="0.35">
      <c r="A252" t="s">
        <v>46</v>
      </c>
      <c r="B252">
        <v>2022</v>
      </c>
      <c r="C252">
        <v>1283.8499999999999</v>
      </c>
    </row>
    <row r="253" spans="1:3" x14ac:dyDescent="0.35">
      <c r="A253" t="s">
        <v>46</v>
      </c>
      <c r="B253">
        <v>2023</v>
      </c>
      <c r="C253">
        <v>1570.53</v>
      </c>
    </row>
    <row r="254" spans="1:3" x14ac:dyDescent="0.35">
      <c r="A254" t="s">
        <v>47</v>
      </c>
      <c r="B254">
        <v>2015</v>
      </c>
      <c r="C254">
        <v>70.44</v>
      </c>
    </row>
    <row r="255" spans="1:3" x14ac:dyDescent="0.35">
      <c r="A255" t="s">
        <v>47</v>
      </c>
      <c r="B255">
        <v>2016</v>
      </c>
      <c r="C255">
        <v>74.42</v>
      </c>
    </row>
    <row r="256" spans="1:3" x14ac:dyDescent="0.35">
      <c r="A256" t="s">
        <v>47</v>
      </c>
      <c r="B256">
        <v>2017</v>
      </c>
      <c r="C256">
        <v>73.540000000000006</v>
      </c>
    </row>
    <row r="257" spans="1:3" x14ac:dyDescent="0.35">
      <c r="A257" t="s">
        <v>47</v>
      </c>
      <c r="B257">
        <v>2018</v>
      </c>
      <c r="C257">
        <v>70.739999999999995</v>
      </c>
    </row>
    <row r="258" spans="1:3" x14ac:dyDescent="0.35">
      <c r="A258" t="s">
        <v>47</v>
      </c>
      <c r="B258">
        <v>2019</v>
      </c>
      <c r="C258">
        <v>68.77</v>
      </c>
    </row>
    <row r="259" spans="1:3" x14ac:dyDescent="0.35">
      <c r="A259" t="s">
        <v>47</v>
      </c>
      <c r="B259">
        <v>2020</v>
      </c>
      <c r="C259">
        <v>66.59</v>
      </c>
    </row>
    <row r="260" spans="1:3" x14ac:dyDescent="0.35">
      <c r="A260" t="s">
        <v>47</v>
      </c>
      <c r="B260">
        <v>2021</v>
      </c>
      <c r="C260">
        <v>73.319999999999993</v>
      </c>
    </row>
    <row r="261" spans="1:3" x14ac:dyDescent="0.35">
      <c r="A261" t="s">
        <v>47</v>
      </c>
      <c r="B261">
        <v>2022</v>
      </c>
      <c r="C261">
        <v>71.92</v>
      </c>
    </row>
    <row r="262" spans="1:3" x14ac:dyDescent="0.35">
      <c r="A262" t="s">
        <v>47</v>
      </c>
      <c r="B262">
        <v>2023</v>
      </c>
      <c r="C262">
        <v>68.47</v>
      </c>
    </row>
    <row r="263" spans="1:3" x14ac:dyDescent="0.35">
      <c r="A263" t="s">
        <v>48</v>
      </c>
      <c r="B263">
        <v>2015</v>
      </c>
      <c r="C263">
        <v>1192.92</v>
      </c>
    </row>
    <row r="264" spans="1:3" x14ac:dyDescent="0.35">
      <c r="A264" t="s">
        <v>48</v>
      </c>
      <c r="B264">
        <v>2016</v>
      </c>
      <c r="C264">
        <v>1194.45</v>
      </c>
    </row>
    <row r="265" spans="1:3" x14ac:dyDescent="0.35">
      <c r="A265" t="s">
        <v>48</v>
      </c>
      <c r="B265">
        <v>2017</v>
      </c>
      <c r="C265">
        <v>1182.19</v>
      </c>
    </row>
    <row r="266" spans="1:3" x14ac:dyDescent="0.35">
      <c r="A266" t="s">
        <v>48</v>
      </c>
      <c r="B266">
        <v>2018</v>
      </c>
      <c r="C266">
        <v>1143.5999999999999</v>
      </c>
    </row>
    <row r="267" spans="1:3" x14ac:dyDescent="0.35">
      <c r="A267" t="s">
        <v>48</v>
      </c>
      <c r="B267">
        <v>2019</v>
      </c>
      <c r="C267">
        <v>1108.04</v>
      </c>
    </row>
    <row r="268" spans="1:3" x14ac:dyDescent="0.35">
      <c r="A268" t="s">
        <v>48</v>
      </c>
      <c r="B268">
        <v>2020</v>
      </c>
      <c r="C268">
        <v>1051.6400000000001</v>
      </c>
    </row>
    <row r="269" spans="1:3" x14ac:dyDescent="0.35">
      <c r="A269" t="s">
        <v>48</v>
      </c>
      <c r="B269">
        <v>2021</v>
      </c>
      <c r="C269">
        <v>1103.6300000000001</v>
      </c>
    </row>
    <row r="270" spans="1:3" x14ac:dyDescent="0.35">
      <c r="A270" t="s">
        <v>48</v>
      </c>
      <c r="B270">
        <v>2022</v>
      </c>
      <c r="C270">
        <v>1078.93</v>
      </c>
    </row>
    <row r="271" spans="1:3" x14ac:dyDescent="0.35">
      <c r="A271" t="s">
        <v>48</v>
      </c>
      <c r="B271">
        <v>2023</v>
      </c>
      <c r="C271">
        <v>1034.23</v>
      </c>
    </row>
    <row r="272" spans="1:3" x14ac:dyDescent="0.35">
      <c r="A272" t="s">
        <v>49</v>
      </c>
      <c r="B272">
        <v>2015</v>
      </c>
      <c r="C272">
        <v>262.7</v>
      </c>
    </row>
    <row r="273" spans="1:3" x14ac:dyDescent="0.35">
      <c r="A273" t="s">
        <v>49</v>
      </c>
      <c r="B273">
        <v>2016</v>
      </c>
      <c r="C273">
        <v>281.14999999999998</v>
      </c>
    </row>
    <row r="274" spans="1:3" x14ac:dyDescent="0.35">
      <c r="A274" t="s">
        <v>49</v>
      </c>
      <c r="B274">
        <v>2017</v>
      </c>
      <c r="C274">
        <v>301.83999999999997</v>
      </c>
    </row>
    <row r="275" spans="1:3" x14ac:dyDescent="0.35">
      <c r="A275" t="s">
        <v>49</v>
      </c>
      <c r="B275">
        <v>2018</v>
      </c>
      <c r="C275">
        <v>302.43</v>
      </c>
    </row>
    <row r="276" spans="1:3" x14ac:dyDescent="0.35">
      <c r="A276" t="s">
        <v>49</v>
      </c>
      <c r="B276">
        <v>2019</v>
      </c>
      <c r="C276">
        <v>288.23</v>
      </c>
    </row>
    <row r="277" spans="1:3" x14ac:dyDescent="0.35">
      <c r="A277" t="s">
        <v>49</v>
      </c>
      <c r="B277">
        <v>2020</v>
      </c>
      <c r="C277">
        <v>291.93</v>
      </c>
    </row>
    <row r="278" spans="1:3" x14ac:dyDescent="0.35">
      <c r="A278" t="s">
        <v>49</v>
      </c>
      <c r="B278">
        <v>2021</v>
      </c>
      <c r="C278">
        <v>320.35000000000002</v>
      </c>
    </row>
    <row r="279" spans="1:3" x14ac:dyDescent="0.35">
      <c r="A279" t="s">
        <v>49</v>
      </c>
      <c r="B279">
        <v>2022</v>
      </c>
      <c r="C279">
        <v>319.33999999999997</v>
      </c>
    </row>
    <row r="280" spans="1:3" x14ac:dyDescent="0.35">
      <c r="A280" t="s">
        <v>49</v>
      </c>
      <c r="B280">
        <v>2023</v>
      </c>
      <c r="C280">
        <v>338.16</v>
      </c>
    </row>
    <row r="281" spans="1:3" x14ac:dyDescent="0.35">
      <c r="A281" t="s">
        <v>50</v>
      </c>
      <c r="B281">
        <v>2015</v>
      </c>
      <c r="C281">
        <v>647.42999999999995</v>
      </c>
    </row>
    <row r="282" spans="1:3" x14ac:dyDescent="0.35">
      <c r="A282" t="s">
        <v>50</v>
      </c>
      <c r="B282">
        <v>2016</v>
      </c>
      <c r="C282">
        <v>656.92</v>
      </c>
    </row>
    <row r="283" spans="1:3" x14ac:dyDescent="0.35">
      <c r="A283" t="s">
        <v>50</v>
      </c>
      <c r="B283">
        <v>2017</v>
      </c>
      <c r="C283">
        <v>683.3</v>
      </c>
    </row>
    <row r="284" spans="1:3" x14ac:dyDescent="0.35">
      <c r="A284" t="s">
        <v>50</v>
      </c>
      <c r="B284">
        <v>2018</v>
      </c>
      <c r="C284">
        <v>708.54</v>
      </c>
    </row>
    <row r="285" spans="1:3" x14ac:dyDescent="0.35">
      <c r="A285" t="s">
        <v>50</v>
      </c>
      <c r="B285">
        <v>2019</v>
      </c>
      <c r="C285">
        <v>684.33</v>
      </c>
    </row>
    <row r="286" spans="1:3" x14ac:dyDescent="0.35">
      <c r="A286" t="s">
        <v>50</v>
      </c>
      <c r="B286">
        <v>2020</v>
      </c>
      <c r="C286">
        <v>642.24</v>
      </c>
    </row>
    <row r="287" spans="1:3" x14ac:dyDescent="0.35">
      <c r="A287" t="s">
        <v>50</v>
      </c>
      <c r="B287">
        <v>2021</v>
      </c>
      <c r="C287">
        <v>672.77</v>
      </c>
    </row>
    <row r="288" spans="1:3" x14ac:dyDescent="0.35">
      <c r="A288" t="s">
        <v>50</v>
      </c>
      <c r="B288">
        <v>2022</v>
      </c>
      <c r="C288">
        <v>658.48</v>
      </c>
    </row>
    <row r="289" spans="1:3" x14ac:dyDescent="0.35">
      <c r="A289" t="s">
        <v>50</v>
      </c>
      <c r="B289">
        <v>2023</v>
      </c>
      <c r="C289">
        <v>642.02</v>
      </c>
    </row>
    <row r="290" spans="1:3" x14ac:dyDescent="0.35">
      <c r="A290" t="s">
        <v>51</v>
      </c>
      <c r="B290">
        <v>2015</v>
      </c>
      <c r="C290">
        <v>8.93</v>
      </c>
    </row>
    <row r="291" spans="1:3" x14ac:dyDescent="0.35">
      <c r="A291" t="s">
        <v>51</v>
      </c>
      <c r="B291">
        <v>2016</v>
      </c>
      <c r="C291">
        <v>9.64</v>
      </c>
    </row>
    <row r="292" spans="1:3" x14ac:dyDescent="0.35">
      <c r="A292" t="s">
        <v>51</v>
      </c>
      <c r="B292">
        <v>2017</v>
      </c>
      <c r="C292">
        <v>9.6</v>
      </c>
    </row>
    <row r="293" spans="1:3" x14ac:dyDescent="0.35">
      <c r="A293" t="s">
        <v>51</v>
      </c>
      <c r="B293">
        <v>2018</v>
      </c>
      <c r="C293">
        <v>10.06</v>
      </c>
    </row>
    <row r="294" spans="1:3" x14ac:dyDescent="0.35">
      <c r="A294" t="s">
        <v>51</v>
      </c>
      <c r="B294">
        <v>2019</v>
      </c>
      <c r="C294">
        <v>9.9</v>
      </c>
    </row>
    <row r="295" spans="1:3" x14ac:dyDescent="0.35">
      <c r="A295" t="s">
        <v>51</v>
      </c>
      <c r="B295">
        <v>2020</v>
      </c>
      <c r="C295">
        <v>9.31</v>
      </c>
    </row>
    <row r="296" spans="1:3" x14ac:dyDescent="0.35">
      <c r="A296" t="s">
        <v>51</v>
      </c>
      <c r="B296">
        <v>2021</v>
      </c>
      <c r="C296">
        <v>17.97</v>
      </c>
    </row>
    <row r="297" spans="1:3" x14ac:dyDescent="0.35">
      <c r="A297" t="s">
        <v>51</v>
      </c>
      <c r="B297">
        <v>2022</v>
      </c>
      <c r="C297">
        <v>17.309999999999999</v>
      </c>
    </row>
    <row r="298" spans="1:3" x14ac:dyDescent="0.35">
      <c r="A298" t="s">
        <v>51</v>
      </c>
      <c r="B298">
        <v>2023</v>
      </c>
      <c r="C298">
        <v>17.239999999999998</v>
      </c>
    </row>
    <row r="299" spans="1:3" x14ac:dyDescent="0.35">
      <c r="A299" t="s">
        <v>53</v>
      </c>
      <c r="B299">
        <v>2015</v>
      </c>
      <c r="C299">
        <v>9.9700000000000006</v>
      </c>
    </row>
    <row r="300" spans="1:3" x14ac:dyDescent="0.35">
      <c r="A300" t="s">
        <v>53</v>
      </c>
      <c r="B300">
        <v>2016</v>
      </c>
      <c r="C300">
        <v>9.65</v>
      </c>
    </row>
    <row r="301" spans="1:3" x14ac:dyDescent="0.35">
      <c r="A301" t="s">
        <v>53</v>
      </c>
      <c r="B301">
        <v>2017</v>
      </c>
      <c r="C301">
        <v>9.83</v>
      </c>
    </row>
    <row r="302" spans="1:3" x14ac:dyDescent="0.35">
      <c r="A302" t="s">
        <v>53</v>
      </c>
      <c r="B302">
        <v>2018</v>
      </c>
      <c r="C302">
        <v>10.11</v>
      </c>
    </row>
    <row r="303" spans="1:3" x14ac:dyDescent="0.35">
      <c r="A303" t="s">
        <v>53</v>
      </c>
      <c r="B303">
        <v>2019</v>
      </c>
      <c r="C303">
        <v>10.29</v>
      </c>
    </row>
    <row r="304" spans="1:3" x14ac:dyDescent="0.35">
      <c r="A304" t="s">
        <v>53</v>
      </c>
      <c r="B304">
        <v>2020</v>
      </c>
      <c r="C304">
        <v>8.6199999999999992</v>
      </c>
    </row>
    <row r="305" spans="1:3" x14ac:dyDescent="0.35">
      <c r="A305" t="s">
        <v>53</v>
      </c>
      <c r="B305">
        <v>2021</v>
      </c>
      <c r="C305">
        <v>9.25</v>
      </c>
    </row>
    <row r="306" spans="1:3" x14ac:dyDescent="0.35">
      <c r="A306" t="s">
        <v>53</v>
      </c>
      <c r="B306">
        <v>2022</v>
      </c>
      <c r="C306">
        <v>8.11</v>
      </c>
    </row>
    <row r="307" spans="1:3" x14ac:dyDescent="0.35">
      <c r="A307" t="s">
        <v>53</v>
      </c>
      <c r="B307">
        <v>2023</v>
      </c>
      <c r="C307">
        <v>7.78</v>
      </c>
    </row>
    <row r="308" spans="1:3" x14ac:dyDescent="0.35">
      <c r="A308" t="s">
        <v>54</v>
      </c>
      <c r="B308">
        <v>2015</v>
      </c>
      <c r="C308">
        <v>5468.96</v>
      </c>
    </row>
    <row r="309" spans="1:3" x14ac:dyDescent="0.35">
      <c r="A309" t="s">
        <v>54</v>
      </c>
      <c r="B309">
        <v>2016</v>
      </c>
      <c r="C309">
        <v>5505.43</v>
      </c>
    </row>
    <row r="310" spans="1:3" x14ac:dyDescent="0.35">
      <c r="A310" t="s">
        <v>54</v>
      </c>
      <c r="B310">
        <v>2017</v>
      </c>
      <c r="C310">
        <v>5459.13</v>
      </c>
    </row>
    <row r="311" spans="1:3" x14ac:dyDescent="0.35">
      <c r="A311" t="s">
        <v>54</v>
      </c>
      <c r="B311">
        <v>2018</v>
      </c>
      <c r="C311">
        <v>5693.3</v>
      </c>
    </row>
    <row r="312" spans="1:3" x14ac:dyDescent="0.35">
      <c r="A312" t="s">
        <v>54</v>
      </c>
      <c r="B312">
        <v>2019</v>
      </c>
      <c r="C312">
        <v>5577.45</v>
      </c>
    </row>
    <row r="313" spans="1:3" x14ac:dyDescent="0.35">
      <c r="A313" t="s">
        <v>54</v>
      </c>
      <c r="B313">
        <v>2020</v>
      </c>
      <c r="C313">
        <v>5022.8900000000003</v>
      </c>
    </row>
    <row r="314" spans="1:3" x14ac:dyDescent="0.35">
      <c r="A314" t="s">
        <v>54</v>
      </c>
      <c r="B314">
        <v>2021</v>
      </c>
      <c r="C314">
        <v>5563.7</v>
      </c>
    </row>
    <row r="315" spans="1:3" x14ac:dyDescent="0.35">
      <c r="A315" t="s">
        <v>54</v>
      </c>
      <c r="B315">
        <v>2022</v>
      </c>
      <c r="C315">
        <v>5638.18</v>
      </c>
    </row>
    <row r="316" spans="1:3" x14ac:dyDescent="0.35">
      <c r="A316" t="s">
        <v>54</v>
      </c>
      <c r="B316">
        <v>2023</v>
      </c>
      <c r="C316">
        <v>5434.18</v>
      </c>
    </row>
    <row r="317" spans="1:3" x14ac:dyDescent="0.35">
      <c r="A317" t="s">
        <v>55</v>
      </c>
      <c r="B317">
        <v>2015</v>
      </c>
      <c r="C317">
        <v>678.95</v>
      </c>
    </row>
    <row r="318" spans="1:3" x14ac:dyDescent="0.35">
      <c r="A318" t="s">
        <v>55</v>
      </c>
      <c r="B318">
        <v>2016</v>
      </c>
      <c r="C318">
        <v>722.32</v>
      </c>
    </row>
    <row r="319" spans="1:3" x14ac:dyDescent="0.35">
      <c r="A319" t="s">
        <v>55</v>
      </c>
      <c r="B319">
        <v>2017</v>
      </c>
      <c r="C319">
        <v>720.16</v>
      </c>
    </row>
    <row r="320" spans="1:3" x14ac:dyDescent="0.35">
      <c r="A320" t="s">
        <v>55</v>
      </c>
      <c r="B320">
        <v>2018</v>
      </c>
      <c r="C320">
        <v>703.37</v>
      </c>
    </row>
    <row r="321" spans="1:3" x14ac:dyDescent="0.35">
      <c r="A321" t="s">
        <v>55</v>
      </c>
      <c r="B321">
        <v>2019</v>
      </c>
      <c r="C321">
        <v>717.6</v>
      </c>
    </row>
    <row r="322" spans="1:3" x14ac:dyDescent="0.35">
      <c r="A322" t="s">
        <v>55</v>
      </c>
      <c r="B322">
        <v>2020</v>
      </c>
      <c r="C322">
        <v>664.85</v>
      </c>
    </row>
    <row r="323" spans="1:3" x14ac:dyDescent="0.35">
      <c r="A323" t="s">
        <v>55</v>
      </c>
      <c r="B323">
        <v>2021</v>
      </c>
      <c r="C323">
        <v>676.79</v>
      </c>
    </row>
    <row r="324" spans="1:3" x14ac:dyDescent="0.35">
      <c r="A324" t="s">
        <v>55</v>
      </c>
      <c r="B324">
        <v>2022</v>
      </c>
      <c r="C324">
        <v>708.03</v>
      </c>
    </row>
    <row r="325" spans="1:3" x14ac:dyDescent="0.35">
      <c r="A325" t="s">
        <v>55</v>
      </c>
      <c r="B325">
        <v>2023</v>
      </c>
      <c r="C325">
        <v>731.02</v>
      </c>
    </row>
    <row r="326" spans="1:3" x14ac:dyDescent="0.35">
      <c r="A326" t="s">
        <v>57</v>
      </c>
      <c r="B326">
        <v>2015</v>
      </c>
      <c r="C326">
        <v>196.56</v>
      </c>
    </row>
    <row r="327" spans="1:3" x14ac:dyDescent="0.35">
      <c r="A327" t="s">
        <v>57</v>
      </c>
      <c r="B327">
        <v>2016</v>
      </c>
      <c r="C327">
        <v>192.51</v>
      </c>
    </row>
    <row r="328" spans="1:3" x14ac:dyDescent="0.35">
      <c r="A328" t="s">
        <v>57</v>
      </c>
      <c r="B328">
        <v>2017</v>
      </c>
      <c r="C328">
        <v>188.45</v>
      </c>
    </row>
    <row r="329" spans="1:3" x14ac:dyDescent="0.35">
      <c r="A329" t="s">
        <v>57</v>
      </c>
      <c r="B329">
        <v>2018</v>
      </c>
      <c r="C329">
        <v>181.88</v>
      </c>
    </row>
    <row r="330" spans="1:3" x14ac:dyDescent="0.35">
      <c r="A330" t="s">
        <v>57</v>
      </c>
      <c r="B330">
        <v>2019</v>
      </c>
      <c r="C330">
        <v>176.15</v>
      </c>
    </row>
    <row r="331" spans="1:3" x14ac:dyDescent="0.35">
      <c r="A331" t="s">
        <v>57</v>
      </c>
      <c r="B331">
        <v>2020</v>
      </c>
      <c r="C331">
        <v>159.27000000000001</v>
      </c>
    </row>
    <row r="332" spans="1:3" x14ac:dyDescent="0.35">
      <c r="A332" t="s">
        <v>57</v>
      </c>
      <c r="B332">
        <v>2021</v>
      </c>
      <c r="C332">
        <v>168.24</v>
      </c>
    </row>
    <row r="333" spans="1:3" x14ac:dyDescent="0.35">
      <c r="A333" t="s">
        <v>57</v>
      </c>
      <c r="B333">
        <v>2022</v>
      </c>
      <c r="C333">
        <v>155.52000000000001</v>
      </c>
    </row>
    <row r="334" spans="1:3" x14ac:dyDescent="0.35">
      <c r="A334" t="s">
        <v>57</v>
      </c>
      <c r="B334">
        <v>2023</v>
      </c>
      <c r="C334">
        <v>145.66</v>
      </c>
    </row>
    <row r="335" spans="1:3" x14ac:dyDescent="0.35">
      <c r="A335" t="s">
        <v>58</v>
      </c>
      <c r="B335">
        <v>2015</v>
      </c>
      <c r="C335">
        <v>789.07</v>
      </c>
    </row>
    <row r="336" spans="1:3" x14ac:dyDescent="0.35">
      <c r="A336" t="s">
        <v>58</v>
      </c>
      <c r="B336">
        <v>2016</v>
      </c>
      <c r="C336">
        <v>886.24</v>
      </c>
    </row>
    <row r="337" spans="1:3" x14ac:dyDescent="0.35">
      <c r="A337" t="s">
        <v>58</v>
      </c>
      <c r="B337">
        <v>2017</v>
      </c>
      <c r="C337">
        <v>905.03</v>
      </c>
    </row>
    <row r="338" spans="1:3" x14ac:dyDescent="0.35">
      <c r="A338" t="s">
        <v>58</v>
      </c>
      <c r="B338">
        <v>2018</v>
      </c>
      <c r="C338">
        <v>923.96</v>
      </c>
    </row>
    <row r="339" spans="1:3" x14ac:dyDescent="0.35">
      <c r="A339" t="s">
        <v>58</v>
      </c>
      <c r="B339">
        <v>2019</v>
      </c>
      <c r="C339">
        <v>915.12</v>
      </c>
    </row>
    <row r="340" spans="1:3" x14ac:dyDescent="0.35">
      <c r="A340" t="s">
        <v>58</v>
      </c>
      <c r="B340">
        <v>2020</v>
      </c>
      <c r="C340">
        <v>853.61</v>
      </c>
    </row>
    <row r="341" spans="1:3" x14ac:dyDescent="0.35">
      <c r="A341" t="s">
        <v>58</v>
      </c>
      <c r="B341">
        <v>2021</v>
      </c>
      <c r="C341">
        <v>844.41</v>
      </c>
    </row>
    <row r="342" spans="1:3" x14ac:dyDescent="0.35">
      <c r="A342" t="s">
        <v>58</v>
      </c>
      <c r="B342">
        <v>2022</v>
      </c>
      <c r="C342">
        <v>857.27</v>
      </c>
    </row>
    <row r="343" spans="1:3" x14ac:dyDescent="0.35">
      <c r="A343" t="s">
        <v>58</v>
      </c>
      <c r="B343">
        <v>2023</v>
      </c>
      <c r="C343">
        <v>875.95</v>
      </c>
    </row>
    <row r="344" spans="1:3" x14ac:dyDescent="0.35">
      <c r="A344" t="s">
        <v>59</v>
      </c>
      <c r="B344">
        <v>2015</v>
      </c>
      <c r="C344">
        <v>64.849999999999994</v>
      </c>
    </row>
    <row r="345" spans="1:3" x14ac:dyDescent="0.35">
      <c r="A345" t="s">
        <v>59</v>
      </c>
      <c r="B345">
        <v>2016</v>
      </c>
      <c r="C345">
        <v>69.13</v>
      </c>
    </row>
    <row r="346" spans="1:3" x14ac:dyDescent="0.35">
      <c r="A346" t="s">
        <v>59</v>
      </c>
      <c r="B346">
        <v>2017</v>
      </c>
      <c r="C346">
        <v>70.69</v>
      </c>
    </row>
    <row r="347" spans="1:3" x14ac:dyDescent="0.35">
      <c r="A347" t="s">
        <v>59</v>
      </c>
      <c r="B347">
        <v>2018</v>
      </c>
      <c r="C347">
        <v>69.97</v>
      </c>
    </row>
    <row r="348" spans="1:3" x14ac:dyDescent="0.35">
      <c r="A348" t="s">
        <v>59</v>
      </c>
      <c r="B348">
        <v>2019</v>
      </c>
      <c r="C348">
        <v>70.77</v>
      </c>
    </row>
    <row r="349" spans="1:3" x14ac:dyDescent="0.35">
      <c r="A349" t="s">
        <v>59</v>
      </c>
      <c r="B349">
        <v>2020</v>
      </c>
      <c r="C349">
        <v>67.81</v>
      </c>
    </row>
    <row r="350" spans="1:3" x14ac:dyDescent="0.35">
      <c r="A350" t="s">
        <v>59</v>
      </c>
      <c r="B350">
        <v>2021</v>
      </c>
      <c r="C350">
        <v>74.98</v>
      </c>
    </row>
    <row r="351" spans="1:3" x14ac:dyDescent="0.35">
      <c r="A351" t="s">
        <v>59</v>
      </c>
      <c r="B351">
        <v>2022</v>
      </c>
      <c r="C351">
        <v>71.239999999999995</v>
      </c>
    </row>
    <row r="352" spans="1:3" x14ac:dyDescent="0.35">
      <c r="A352" t="s">
        <v>59</v>
      </c>
      <c r="B352">
        <v>2023</v>
      </c>
      <c r="C352">
        <v>69.959999999999994</v>
      </c>
    </row>
    <row r="353" spans="1:3" x14ac:dyDescent="0.35">
      <c r="A353" t="s">
        <v>60</v>
      </c>
      <c r="B353">
        <v>2015</v>
      </c>
      <c r="C353">
        <v>789.07</v>
      </c>
    </row>
    <row r="354" spans="1:3" x14ac:dyDescent="0.35">
      <c r="A354" t="s">
        <v>60</v>
      </c>
      <c r="B354">
        <v>2016</v>
      </c>
      <c r="C354">
        <v>886.24</v>
      </c>
    </row>
    <row r="355" spans="1:3" x14ac:dyDescent="0.35">
      <c r="A355" t="s">
        <v>60</v>
      </c>
      <c r="B355">
        <v>2017</v>
      </c>
      <c r="C355">
        <v>905.03</v>
      </c>
    </row>
    <row r="356" spans="1:3" x14ac:dyDescent="0.35">
      <c r="A356" t="s">
        <v>60</v>
      </c>
      <c r="B356">
        <v>2018</v>
      </c>
      <c r="C356">
        <v>923.96</v>
      </c>
    </row>
    <row r="357" spans="1:3" x14ac:dyDescent="0.35">
      <c r="A357" t="s">
        <v>60</v>
      </c>
      <c r="B357">
        <v>2019</v>
      </c>
      <c r="C357">
        <v>915.12</v>
      </c>
    </row>
    <row r="358" spans="1:3" x14ac:dyDescent="0.35">
      <c r="A358" t="s">
        <v>60</v>
      </c>
      <c r="B358">
        <v>2020</v>
      </c>
      <c r="C358">
        <v>853.61</v>
      </c>
    </row>
    <row r="359" spans="1:3" x14ac:dyDescent="0.35">
      <c r="A359" t="s">
        <v>60</v>
      </c>
      <c r="B359">
        <v>2021</v>
      </c>
      <c r="C359">
        <v>844.41</v>
      </c>
    </row>
    <row r="360" spans="1:3" x14ac:dyDescent="0.35">
      <c r="A360" t="s">
        <v>60</v>
      </c>
      <c r="B360">
        <v>2022</v>
      </c>
      <c r="C360">
        <v>857.27</v>
      </c>
    </row>
    <row r="361" spans="1:3" x14ac:dyDescent="0.35">
      <c r="A361" t="s">
        <v>60</v>
      </c>
      <c r="B361">
        <v>2023</v>
      </c>
      <c r="C361">
        <v>875.95</v>
      </c>
    </row>
    <row r="362" spans="1:3" x14ac:dyDescent="0.35">
      <c r="A362" t="s">
        <v>61</v>
      </c>
      <c r="B362">
        <v>2015</v>
      </c>
      <c r="C362">
        <v>789.07</v>
      </c>
    </row>
    <row r="363" spans="1:3" x14ac:dyDescent="0.35">
      <c r="A363" t="s">
        <v>61</v>
      </c>
      <c r="B363">
        <v>2016</v>
      </c>
      <c r="C363">
        <v>886.24</v>
      </c>
    </row>
    <row r="364" spans="1:3" x14ac:dyDescent="0.35">
      <c r="A364" t="s">
        <v>61</v>
      </c>
      <c r="B364">
        <v>2017</v>
      </c>
      <c r="C364">
        <v>905.03</v>
      </c>
    </row>
    <row r="365" spans="1:3" x14ac:dyDescent="0.35">
      <c r="A365" t="s">
        <v>61</v>
      </c>
      <c r="B365">
        <v>2018</v>
      </c>
      <c r="C365">
        <v>923.96</v>
      </c>
    </row>
    <row r="366" spans="1:3" x14ac:dyDescent="0.35">
      <c r="A366" t="s">
        <v>61</v>
      </c>
      <c r="B366">
        <v>2019</v>
      </c>
      <c r="C366">
        <v>915.12</v>
      </c>
    </row>
    <row r="367" spans="1:3" x14ac:dyDescent="0.35">
      <c r="A367" t="s">
        <v>61</v>
      </c>
      <c r="B367">
        <v>2020</v>
      </c>
      <c r="C367">
        <v>853.61</v>
      </c>
    </row>
    <row r="368" spans="1:3" x14ac:dyDescent="0.35">
      <c r="A368" t="s">
        <v>61</v>
      </c>
      <c r="B368">
        <v>2021</v>
      </c>
      <c r="C368">
        <v>844.41</v>
      </c>
    </row>
    <row r="369" spans="1:3" x14ac:dyDescent="0.35">
      <c r="A369" t="s">
        <v>61</v>
      </c>
      <c r="B369">
        <v>2022</v>
      </c>
      <c r="C369">
        <v>857.27</v>
      </c>
    </row>
    <row r="370" spans="1:3" x14ac:dyDescent="0.35">
      <c r="A370" t="s">
        <v>61</v>
      </c>
      <c r="B370">
        <v>2023</v>
      </c>
      <c r="C370">
        <v>875.95</v>
      </c>
    </row>
    <row r="371" spans="1:3" x14ac:dyDescent="0.35">
      <c r="A371" t="s">
        <v>62</v>
      </c>
      <c r="B371">
        <v>2015</v>
      </c>
      <c r="C371">
        <v>36.06</v>
      </c>
    </row>
    <row r="372" spans="1:3" x14ac:dyDescent="0.35">
      <c r="A372" t="s">
        <v>62</v>
      </c>
      <c r="B372">
        <v>2016</v>
      </c>
      <c r="C372">
        <v>46.29</v>
      </c>
    </row>
    <row r="373" spans="1:3" x14ac:dyDescent="0.35">
      <c r="A373" t="s">
        <v>62</v>
      </c>
      <c r="B373">
        <v>2017</v>
      </c>
      <c r="C373">
        <v>45.96</v>
      </c>
    </row>
    <row r="374" spans="1:3" x14ac:dyDescent="0.35">
      <c r="A374" t="s">
        <v>62</v>
      </c>
      <c r="B374">
        <v>2018</v>
      </c>
      <c r="C374">
        <v>45.36</v>
      </c>
    </row>
    <row r="375" spans="1:3" x14ac:dyDescent="0.35">
      <c r="A375" t="s">
        <v>62</v>
      </c>
      <c r="B375">
        <v>2019</v>
      </c>
      <c r="C375">
        <v>43.98</v>
      </c>
    </row>
    <row r="376" spans="1:3" x14ac:dyDescent="0.35">
      <c r="A376" t="s">
        <v>62</v>
      </c>
      <c r="B376">
        <v>2020</v>
      </c>
      <c r="C376">
        <v>42.34</v>
      </c>
    </row>
    <row r="377" spans="1:3" x14ac:dyDescent="0.35">
      <c r="A377" t="s">
        <v>62</v>
      </c>
      <c r="B377">
        <v>2021</v>
      </c>
      <c r="C377">
        <v>51.64</v>
      </c>
    </row>
    <row r="378" spans="1:3" x14ac:dyDescent="0.35">
      <c r="A378" t="s">
        <v>62</v>
      </c>
      <c r="B378">
        <v>2022</v>
      </c>
      <c r="C378">
        <v>51.03</v>
      </c>
    </row>
    <row r="379" spans="1:3" x14ac:dyDescent="0.35">
      <c r="A379" t="s">
        <v>62</v>
      </c>
      <c r="B379">
        <v>2023</v>
      </c>
      <c r="C379">
        <v>49.47</v>
      </c>
    </row>
    <row r="380" spans="1:3" x14ac:dyDescent="0.35">
      <c r="A380" t="s">
        <v>63</v>
      </c>
      <c r="B380">
        <v>2015</v>
      </c>
      <c r="C380">
        <v>789.07</v>
      </c>
    </row>
    <row r="381" spans="1:3" x14ac:dyDescent="0.35">
      <c r="A381" t="s">
        <v>63</v>
      </c>
      <c r="B381">
        <v>2016</v>
      </c>
      <c r="C381">
        <v>886.24</v>
      </c>
    </row>
    <row r="382" spans="1:3" x14ac:dyDescent="0.35">
      <c r="A382" t="s">
        <v>63</v>
      </c>
      <c r="B382">
        <v>2017</v>
      </c>
      <c r="C382">
        <v>905.03</v>
      </c>
    </row>
    <row r="383" spans="1:3" x14ac:dyDescent="0.35">
      <c r="A383" t="s">
        <v>63</v>
      </c>
      <c r="B383">
        <v>2018</v>
      </c>
      <c r="C383">
        <v>923.96</v>
      </c>
    </row>
    <row r="384" spans="1:3" x14ac:dyDescent="0.35">
      <c r="A384" t="s">
        <v>63</v>
      </c>
      <c r="B384">
        <v>2019</v>
      </c>
      <c r="C384">
        <v>915.12</v>
      </c>
    </row>
    <row r="385" spans="1:3" x14ac:dyDescent="0.35">
      <c r="A385" t="s">
        <v>63</v>
      </c>
      <c r="B385">
        <v>2020</v>
      </c>
      <c r="C385">
        <v>853.61</v>
      </c>
    </row>
    <row r="386" spans="1:3" x14ac:dyDescent="0.35">
      <c r="A386" t="s">
        <v>63</v>
      </c>
      <c r="B386">
        <v>2021</v>
      </c>
      <c r="C386">
        <v>844.41</v>
      </c>
    </row>
    <row r="387" spans="1:3" x14ac:dyDescent="0.35">
      <c r="A387" t="s">
        <v>63</v>
      </c>
      <c r="B387">
        <v>2022</v>
      </c>
      <c r="C387">
        <v>857.27</v>
      </c>
    </row>
    <row r="388" spans="1:3" x14ac:dyDescent="0.35">
      <c r="A388" t="s">
        <v>63</v>
      </c>
      <c r="B388">
        <v>2023</v>
      </c>
      <c r="C388">
        <v>875.95</v>
      </c>
    </row>
    <row r="389" spans="1:3" x14ac:dyDescent="0.35">
      <c r="A389" t="s">
        <v>64</v>
      </c>
      <c r="B389">
        <v>2015</v>
      </c>
      <c r="C389">
        <v>789.07</v>
      </c>
    </row>
    <row r="390" spans="1:3" x14ac:dyDescent="0.35">
      <c r="A390" t="s">
        <v>64</v>
      </c>
      <c r="B390">
        <v>2016</v>
      </c>
      <c r="C390">
        <v>886.24</v>
      </c>
    </row>
    <row r="391" spans="1:3" x14ac:dyDescent="0.35">
      <c r="A391" t="s">
        <v>64</v>
      </c>
      <c r="B391">
        <v>2017</v>
      </c>
      <c r="C391">
        <v>905.03</v>
      </c>
    </row>
    <row r="392" spans="1:3" x14ac:dyDescent="0.35">
      <c r="A392" t="s">
        <v>64</v>
      </c>
      <c r="B392">
        <v>2018</v>
      </c>
      <c r="C392">
        <v>923.96</v>
      </c>
    </row>
    <row r="393" spans="1:3" x14ac:dyDescent="0.35">
      <c r="A393" t="s">
        <v>64</v>
      </c>
      <c r="B393">
        <v>2019</v>
      </c>
      <c r="C393">
        <v>915.12</v>
      </c>
    </row>
    <row r="394" spans="1:3" x14ac:dyDescent="0.35">
      <c r="A394" t="s">
        <v>64</v>
      </c>
      <c r="B394">
        <v>2020</v>
      </c>
      <c r="C394">
        <v>853.61</v>
      </c>
    </row>
    <row r="395" spans="1:3" x14ac:dyDescent="0.35">
      <c r="A395" t="s">
        <v>64</v>
      </c>
      <c r="B395">
        <v>2021</v>
      </c>
      <c r="C395">
        <v>844.41</v>
      </c>
    </row>
    <row r="396" spans="1:3" x14ac:dyDescent="0.35">
      <c r="A396" t="s">
        <v>64</v>
      </c>
      <c r="B396">
        <v>2022</v>
      </c>
      <c r="C396">
        <v>857.27</v>
      </c>
    </row>
    <row r="397" spans="1:3" x14ac:dyDescent="0.35">
      <c r="A397" t="s">
        <v>64</v>
      </c>
      <c r="B397">
        <v>2023</v>
      </c>
      <c r="C397">
        <v>875.95</v>
      </c>
    </row>
    <row r="398" spans="1:3" x14ac:dyDescent="0.35">
      <c r="A398" t="s">
        <v>65</v>
      </c>
      <c r="B398">
        <v>2015</v>
      </c>
      <c r="C398">
        <v>352.81</v>
      </c>
    </row>
    <row r="399" spans="1:3" x14ac:dyDescent="0.35">
      <c r="A399" t="s">
        <v>65</v>
      </c>
      <c r="B399">
        <v>2016</v>
      </c>
      <c r="C399">
        <v>376.66</v>
      </c>
    </row>
    <row r="400" spans="1:3" x14ac:dyDescent="0.35">
      <c r="A400" t="s">
        <v>65</v>
      </c>
      <c r="B400">
        <v>2017</v>
      </c>
      <c r="C400">
        <v>389.14</v>
      </c>
    </row>
    <row r="401" spans="1:3" x14ac:dyDescent="0.35">
      <c r="A401" t="s">
        <v>65</v>
      </c>
      <c r="B401">
        <v>2018</v>
      </c>
      <c r="C401">
        <v>386.99</v>
      </c>
    </row>
    <row r="402" spans="1:3" x14ac:dyDescent="0.35">
      <c r="A402" t="s">
        <v>65</v>
      </c>
      <c r="B402">
        <v>2019</v>
      </c>
      <c r="C402">
        <v>368.59</v>
      </c>
    </row>
    <row r="403" spans="1:3" x14ac:dyDescent="0.35">
      <c r="A403" t="s">
        <v>65</v>
      </c>
      <c r="B403">
        <v>2020</v>
      </c>
      <c r="C403">
        <v>350.9</v>
      </c>
    </row>
    <row r="404" spans="1:3" x14ac:dyDescent="0.35">
      <c r="A404" t="s">
        <v>65</v>
      </c>
      <c r="B404">
        <v>2021</v>
      </c>
      <c r="C404">
        <v>399.18</v>
      </c>
    </row>
    <row r="405" spans="1:3" x14ac:dyDescent="0.35">
      <c r="A405" t="s">
        <v>65</v>
      </c>
      <c r="B405">
        <v>2022</v>
      </c>
      <c r="C405">
        <v>383.98</v>
      </c>
    </row>
    <row r="406" spans="1:3" x14ac:dyDescent="0.35">
      <c r="A406" t="s">
        <v>65</v>
      </c>
      <c r="B406">
        <v>2023</v>
      </c>
      <c r="C406">
        <v>354.9</v>
      </c>
    </row>
    <row r="407" spans="1:3" x14ac:dyDescent="0.35">
      <c r="A407" t="s">
        <v>66</v>
      </c>
      <c r="B407">
        <v>2015</v>
      </c>
      <c r="C407">
        <v>65.819999999999993</v>
      </c>
    </row>
    <row r="408" spans="1:3" x14ac:dyDescent="0.35">
      <c r="A408" t="s">
        <v>66</v>
      </c>
      <c r="B408">
        <v>2016</v>
      </c>
      <c r="C408">
        <v>69.77</v>
      </c>
    </row>
    <row r="409" spans="1:3" x14ac:dyDescent="0.35">
      <c r="A409" t="s">
        <v>66</v>
      </c>
      <c r="B409">
        <v>2017</v>
      </c>
      <c r="C409">
        <v>75.150000000000006</v>
      </c>
    </row>
    <row r="410" spans="1:3" x14ac:dyDescent="0.35">
      <c r="A410" t="s">
        <v>66</v>
      </c>
      <c r="B410">
        <v>2018</v>
      </c>
      <c r="C410">
        <v>70.3</v>
      </c>
    </row>
    <row r="411" spans="1:3" x14ac:dyDescent="0.35">
      <c r="A411" t="s">
        <v>66</v>
      </c>
      <c r="B411">
        <v>2019</v>
      </c>
      <c r="C411">
        <v>65.69</v>
      </c>
    </row>
    <row r="412" spans="1:3" x14ac:dyDescent="0.35">
      <c r="A412" t="s">
        <v>66</v>
      </c>
      <c r="B412">
        <v>2020</v>
      </c>
      <c r="C412">
        <v>60.05</v>
      </c>
    </row>
    <row r="413" spans="1:3" x14ac:dyDescent="0.35">
      <c r="A413" t="s">
        <v>66</v>
      </c>
      <c r="B413">
        <v>2021</v>
      </c>
      <c r="C413">
        <v>52.81</v>
      </c>
    </row>
    <row r="414" spans="1:3" x14ac:dyDescent="0.35">
      <c r="A414" t="s">
        <v>66</v>
      </c>
      <c r="B414">
        <v>2022</v>
      </c>
      <c r="C414">
        <v>53.58</v>
      </c>
    </row>
    <row r="415" spans="1:3" x14ac:dyDescent="0.35">
      <c r="A415" t="s">
        <v>66</v>
      </c>
      <c r="B415">
        <v>2023</v>
      </c>
      <c r="C415">
        <v>51.44</v>
      </c>
    </row>
    <row r="416" spans="1:3" x14ac:dyDescent="0.35">
      <c r="A416" t="s">
        <v>67</v>
      </c>
      <c r="B416">
        <v>2015</v>
      </c>
      <c r="C416">
        <v>789.07</v>
      </c>
    </row>
    <row r="417" spans="1:3" x14ac:dyDescent="0.35">
      <c r="A417" t="s">
        <v>67</v>
      </c>
      <c r="B417">
        <v>2016</v>
      </c>
      <c r="C417">
        <v>886.24</v>
      </c>
    </row>
    <row r="418" spans="1:3" x14ac:dyDescent="0.35">
      <c r="A418" t="s">
        <v>67</v>
      </c>
      <c r="B418">
        <v>2017</v>
      </c>
      <c r="C418">
        <v>905.03</v>
      </c>
    </row>
    <row r="419" spans="1:3" x14ac:dyDescent="0.35">
      <c r="A419" t="s">
        <v>67</v>
      </c>
      <c r="B419">
        <v>2018</v>
      </c>
      <c r="C419">
        <v>923.96</v>
      </c>
    </row>
    <row r="420" spans="1:3" x14ac:dyDescent="0.35">
      <c r="A420" t="s">
        <v>67</v>
      </c>
      <c r="B420">
        <v>2019</v>
      </c>
      <c r="C420">
        <v>915.12</v>
      </c>
    </row>
    <row r="421" spans="1:3" x14ac:dyDescent="0.35">
      <c r="A421" t="s">
        <v>67</v>
      </c>
      <c r="B421">
        <v>2020</v>
      </c>
      <c r="C421">
        <v>853.61</v>
      </c>
    </row>
    <row r="422" spans="1:3" x14ac:dyDescent="0.35">
      <c r="A422" t="s">
        <v>67</v>
      </c>
      <c r="B422">
        <v>2021</v>
      </c>
      <c r="C422">
        <v>844.41</v>
      </c>
    </row>
    <row r="423" spans="1:3" x14ac:dyDescent="0.35">
      <c r="A423" t="s">
        <v>67</v>
      </c>
      <c r="B423">
        <v>2022</v>
      </c>
      <c r="C423">
        <v>857.27</v>
      </c>
    </row>
    <row r="424" spans="1:3" x14ac:dyDescent="0.35">
      <c r="A424" t="s">
        <v>67</v>
      </c>
      <c r="B424">
        <v>2023</v>
      </c>
      <c r="C424">
        <v>875.95</v>
      </c>
    </row>
    <row r="425" spans="1:3" x14ac:dyDescent="0.35">
      <c r="A425" t="s">
        <v>68</v>
      </c>
      <c r="B425">
        <v>2015</v>
      </c>
      <c r="C425">
        <v>789.07</v>
      </c>
    </row>
    <row r="426" spans="1:3" x14ac:dyDescent="0.35">
      <c r="A426" t="s">
        <v>68</v>
      </c>
      <c r="B426">
        <v>2016</v>
      </c>
      <c r="C426">
        <v>886.24</v>
      </c>
    </row>
    <row r="427" spans="1:3" x14ac:dyDescent="0.35">
      <c r="A427" t="s">
        <v>68</v>
      </c>
      <c r="B427">
        <v>2017</v>
      </c>
      <c r="C427">
        <v>905.03</v>
      </c>
    </row>
    <row r="428" spans="1:3" x14ac:dyDescent="0.35">
      <c r="A428" t="s">
        <v>68</v>
      </c>
      <c r="B428">
        <v>2018</v>
      </c>
      <c r="C428">
        <v>923.96</v>
      </c>
    </row>
    <row r="429" spans="1:3" x14ac:dyDescent="0.35">
      <c r="A429" t="s">
        <v>68</v>
      </c>
      <c r="B429">
        <v>2019</v>
      </c>
      <c r="C429">
        <v>915.12</v>
      </c>
    </row>
    <row r="430" spans="1:3" x14ac:dyDescent="0.35">
      <c r="A430" t="s">
        <v>68</v>
      </c>
      <c r="B430">
        <v>2020</v>
      </c>
      <c r="C430">
        <v>853.61</v>
      </c>
    </row>
    <row r="431" spans="1:3" x14ac:dyDescent="0.35">
      <c r="A431" t="s">
        <v>68</v>
      </c>
      <c r="B431">
        <v>2021</v>
      </c>
      <c r="C431">
        <v>844.41</v>
      </c>
    </row>
    <row r="432" spans="1:3" x14ac:dyDescent="0.35">
      <c r="A432" t="s">
        <v>68</v>
      </c>
      <c r="B432">
        <v>2022</v>
      </c>
      <c r="C432">
        <v>857.27</v>
      </c>
    </row>
    <row r="433" spans="1:3" x14ac:dyDescent="0.35">
      <c r="A433" t="s">
        <v>68</v>
      </c>
      <c r="B433">
        <v>2023</v>
      </c>
      <c r="C433">
        <v>875.95</v>
      </c>
    </row>
    <row r="434" spans="1:3" x14ac:dyDescent="0.35">
      <c r="A434" t="s">
        <v>69</v>
      </c>
      <c r="B434">
        <v>2015</v>
      </c>
      <c r="C434">
        <v>678.95</v>
      </c>
    </row>
    <row r="435" spans="1:3" x14ac:dyDescent="0.35">
      <c r="A435" t="s">
        <v>69</v>
      </c>
      <c r="B435">
        <v>2016</v>
      </c>
      <c r="C435">
        <v>722.32</v>
      </c>
    </row>
    <row r="436" spans="1:3" x14ac:dyDescent="0.35">
      <c r="A436" t="s">
        <v>69</v>
      </c>
      <c r="B436">
        <v>2017</v>
      </c>
      <c r="C436">
        <v>720.16</v>
      </c>
    </row>
    <row r="437" spans="1:3" x14ac:dyDescent="0.35">
      <c r="A437" t="s">
        <v>69</v>
      </c>
      <c r="B437">
        <v>2018</v>
      </c>
      <c r="C437">
        <v>703.37</v>
      </c>
    </row>
    <row r="438" spans="1:3" x14ac:dyDescent="0.35">
      <c r="A438" t="s">
        <v>69</v>
      </c>
      <c r="B438">
        <v>2019</v>
      </c>
      <c r="C438">
        <v>717.6</v>
      </c>
    </row>
    <row r="439" spans="1:3" x14ac:dyDescent="0.35">
      <c r="A439" t="s">
        <v>69</v>
      </c>
      <c r="B439">
        <v>2020</v>
      </c>
      <c r="C439">
        <v>664.85</v>
      </c>
    </row>
    <row r="440" spans="1:3" x14ac:dyDescent="0.35">
      <c r="A440" t="s">
        <v>69</v>
      </c>
      <c r="B440">
        <v>2021</v>
      </c>
      <c r="C440">
        <v>676.79</v>
      </c>
    </row>
    <row r="441" spans="1:3" x14ac:dyDescent="0.35">
      <c r="A441" t="s">
        <v>69</v>
      </c>
      <c r="B441">
        <v>2022</v>
      </c>
      <c r="C441">
        <v>708.03</v>
      </c>
    </row>
    <row r="442" spans="1:3" x14ac:dyDescent="0.35">
      <c r="A442" t="s">
        <v>69</v>
      </c>
      <c r="B442">
        <v>2023</v>
      </c>
      <c r="C442">
        <v>731.02</v>
      </c>
    </row>
    <row r="443" spans="1:3" x14ac:dyDescent="0.35">
      <c r="A443" t="s">
        <v>70</v>
      </c>
      <c r="B443">
        <v>2015</v>
      </c>
      <c r="C443">
        <v>5468.96</v>
      </c>
    </row>
    <row r="444" spans="1:3" x14ac:dyDescent="0.35">
      <c r="A444" t="s">
        <v>70</v>
      </c>
      <c r="B444">
        <v>2016</v>
      </c>
      <c r="C444">
        <v>5505.43</v>
      </c>
    </row>
    <row r="445" spans="1:3" x14ac:dyDescent="0.35">
      <c r="A445" t="s">
        <v>70</v>
      </c>
      <c r="B445">
        <v>2017</v>
      </c>
      <c r="C445">
        <v>5459.13</v>
      </c>
    </row>
    <row r="446" spans="1:3" x14ac:dyDescent="0.35">
      <c r="A446" t="s">
        <v>70</v>
      </c>
      <c r="B446">
        <v>2018</v>
      </c>
      <c r="C446">
        <v>5693.3</v>
      </c>
    </row>
    <row r="447" spans="1:3" x14ac:dyDescent="0.35">
      <c r="A447" t="s">
        <v>70</v>
      </c>
      <c r="B447">
        <v>2019</v>
      </c>
      <c r="C447">
        <v>5577.45</v>
      </c>
    </row>
    <row r="448" spans="1:3" x14ac:dyDescent="0.35">
      <c r="A448" t="s">
        <v>70</v>
      </c>
      <c r="B448">
        <v>2020</v>
      </c>
      <c r="C448">
        <v>5022.8900000000003</v>
      </c>
    </row>
    <row r="449" spans="1:3" x14ac:dyDescent="0.35">
      <c r="A449" t="s">
        <v>70</v>
      </c>
      <c r="B449">
        <v>2021</v>
      </c>
      <c r="C449">
        <v>5563.7</v>
      </c>
    </row>
    <row r="450" spans="1:3" x14ac:dyDescent="0.35">
      <c r="A450" t="s">
        <v>70</v>
      </c>
      <c r="B450">
        <v>2022</v>
      </c>
      <c r="C450">
        <v>5638.18</v>
      </c>
    </row>
    <row r="451" spans="1:3" x14ac:dyDescent="0.35">
      <c r="A451" t="s">
        <v>70</v>
      </c>
      <c r="B451">
        <v>2023</v>
      </c>
      <c r="C451">
        <v>5434.18</v>
      </c>
    </row>
    <row r="452" spans="1:3" x14ac:dyDescent="0.35">
      <c r="A452" t="s">
        <v>71</v>
      </c>
      <c r="B452">
        <v>2015</v>
      </c>
      <c r="C452">
        <v>1192.92</v>
      </c>
    </row>
    <row r="453" spans="1:3" x14ac:dyDescent="0.35">
      <c r="A453" t="s">
        <v>71</v>
      </c>
      <c r="B453">
        <v>2016</v>
      </c>
      <c r="C453">
        <v>1194.45</v>
      </c>
    </row>
    <row r="454" spans="1:3" x14ac:dyDescent="0.35">
      <c r="A454" t="s">
        <v>71</v>
      </c>
      <c r="B454">
        <v>2017</v>
      </c>
      <c r="C454">
        <v>1182.19</v>
      </c>
    </row>
    <row r="455" spans="1:3" x14ac:dyDescent="0.35">
      <c r="A455" t="s">
        <v>71</v>
      </c>
      <c r="B455">
        <v>2018</v>
      </c>
      <c r="C455">
        <v>1143.5999999999999</v>
      </c>
    </row>
    <row r="456" spans="1:3" x14ac:dyDescent="0.35">
      <c r="A456" t="s">
        <v>71</v>
      </c>
      <c r="B456">
        <v>2019</v>
      </c>
      <c r="C456">
        <v>1108.04</v>
      </c>
    </row>
    <row r="457" spans="1:3" x14ac:dyDescent="0.35">
      <c r="A457" t="s">
        <v>71</v>
      </c>
      <c r="B457">
        <v>2020</v>
      </c>
      <c r="C457">
        <v>1051.6400000000001</v>
      </c>
    </row>
    <row r="458" spans="1:3" x14ac:dyDescent="0.35">
      <c r="A458" t="s">
        <v>71</v>
      </c>
      <c r="B458">
        <v>2021</v>
      </c>
      <c r="C458">
        <v>1103.6300000000001</v>
      </c>
    </row>
    <row r="459" spans="1:3" x14ac:dyDescent="0.35">
      <c r="A459" t="s">
        <v>71</v>
      </c>
      <c r="B459">
        <v>2022</v>
      </c>
      <c r="C459">
        <v>1078.93</v>
      </c>
    </row>
    <row r="460" spans="1:3" x14ac:dyDescent="0.35">
      <c r="A460" t="s">
        <v>71</v>
      </c>
      <c r="B460">
        <v>2023</v>
      </c>
      <c r="C460">
        <v>1034.23</v>
      </c>
    </row>
    <row r="461" spans="1:3" x14ac:dyDescent="0.35">
      <c r="A461" t="s">
        <v>72</v>
      </c>
      <c r="B461">
        <v>2015</v>
      </c>
      <c r="C461">
        <v>789.07</v>
      </c>
    </row>
    <row r="462" spans="1:3" x14ac:dyDescent="0.35">
      <c r="A462" t="s">
        <v>72</v>
      </c>
      <c r="B462">
        <v>2016</v>
      </c>
      <c r="C462">
        <v>886.24</v>
      </c>
    </row>
    <row r="463" spans="1:3" x14ac:dyDescent="0.35">
      <c r="A463" t="s">
        <v>72</v>
      </c>
      <c r="B463">
        <v>2017</v>
      </c>
      <c r="C463">
        <v>905.03</v>
      </c>
    </row>
    <row r="464" spans="1:3" x14ac:dyDescent="0.35">
      <c r="A464" t="s">
        <v>72</v>
      </c>
      <c r="B464">
        <v>2018</v>
      </c>
      <c r="C464">
        <v>923.96</v>
      </c>
    </row>
    <row r="465" spans="1:3" x14ac:dyDescent="0.35">
      <c r="A465" t="s">
        <v>72</v>
      </c>
      <c r="B465">
        <v>2019</v>
      </c>
      <c r="C465">
        <v>915.12</v>
      </c>
    </row>
    <row r="466" spans="1:3" x14ac:dyDescent="0.35">
      <c r="A466" t="s">
        <v>72</v>
      </c>
      <c r="B466">
        <v>2020</v>
      </c>
      <c r="C466">
        <v>853.61</v>
      </c>
    </row>
    <row r="467" spans="1:3" x14ac:dyDescent="0.35">
      <c r="A467" t="s">
        <v>72</v>
      </c>
      <c r="B467">
        <v>2021</v>
      </c>
      <c r="C467">
        <v>844.41</v>
      </c>
    </row>
    <row r="468" spans="1:3" x14ac:dyDescent="0.35">
      <c r="A468" t="s">
        <v>72</v>
      </c>
      <c r="B468">
        <v>2022</v>
      </c>
      <c r="C468">
        <v>857.27</v>
      </c>
    </row>
    <row r="469" spans="1:3" x14ac:dyDescent="0.35">
      <c r="A469" t="s">
        <v>72</v>
      </c>
      <c r="B469">
        <v>2023</v>
      </c>
      <c r="C469">
        <v>875.95</v>
      </c>
    </row>
    <row r="470" spans="1:3" x14ac:dyDescent="0.35">
      <c r="A470" t="s">
        <v>73</v>
      </c>
      <c r="B470">
        <v>2015</v>
      </c>
      <c r="C470">
        <v>11103.35</v>
      </c>
    </row>
    <row r="471" spans="1:3" x14ac:dyDescent="0.35">
      <c r="A471" t="s">
        <v>73</v>
      </c>
      <c r="B471">
        <v>2016</v>
      </c>
      <c r="C471">
        <v>10955.02</v>
      </c>
    </row>
    <row r="472" spans="1:3" x14ac:dyDescent="0.35">
      <c r="A472" t="s">
        <v>73</v>
      </c>
      <c r="B472">
        <v>2017</v>
      </c>
      <c r="C472">
        <v>11189.72</v>
      </c>
    </row>
    <row r="473" spans="1:3" x14ac:dyDescent="0.35">
      <c r="A473" t="s">
        <v>73</v>
      </c>
      <c r="B473">
        <v>2018</v>
      </c>
      <c r="C473">
        <v>11662.12</v>
      </c>
    </row>
    <row r="474" spans="1:3" x14ac:dyDescent="0.35">
      <c r="A474" t="s">
        <v>73</v>
      </c>
      <c r="B474">
        <v>2019</v>
      </c>
      <c r="C474">
        <v>11915.69</v>
      </c>
    </row>
    <row r="475" spans="1:3" x14ac:dyDescent="0.35">
      <c r="A475" t="s">
        <v>73</v>
      </c>
      <c r="B475">
        <v>2020</v>
      </c>
      <c r="C475">
        <v>12084.55</v>
      </c>
    </row>
    <row r="476" spans="1:3" x14ac:dyDescent="0.35">
      <c r="A476" t="s">
        <v>73</v>
      </c>
      <c r="B476">
        <v>2021</v>
      </c>
      <c r="C476">
        <v>12665.78</v>
      </c>
    </row>
    <row r="477" spans="1:3" x14ac:dyDescent="0.35">
      <c r="A477" t="s">
        <v>73</v>
      </c>
      <c r="B477">
        <v>2022</v>
      </c>
      <c r="C477">
        <v>12651.27</v>
      </c>
    </row>
    <row r="478" spans="1:3" x14ac:dyDescent="0.35">
      <c r="A478" t="s">
        <v>73</v>
      </c>
      <c r="B478">
        <v>2023</v>
      </c>
      <c r="C478">
        <v>13152.05</v>
      </c>
    </row>
    <row r="479" spans="1:3" x14ac:dyDescent="0.35">
      <c r="A479" t="s">
        <v>74</v>
      </c>
      <c r="B479">
        <v>2015</v>
      </c>
      <c r="C479">
        <v>11103.35</v>
      </c>
    </row>
    <row r="480" spans="1:3" x14ac:dyDescent="0.35">
      <c r="A480" t="s">
        <v>74</v>
      </c>
      <c r="B480">
        <v>2016</v>
      </c>
      <c r="C480">
        <v>10955.02</v>
      </c>
    </row>
    <row r="481" spans="1:3" x14ac:dyDescent="0.35">
      <c r="A481" t="s">
        <v>74</v>
      </c>
      <c r="B481">
        <v>2017</v>
      </c>
      <c r="C481">
        <v>11189.72</v>
      </c>
    </row>
    <row r="482" spans="1:3" x14ac:dyDescent="0.35">
      <c r="A482" t="s">
        <v>74</v>
      </c>
      <c r="B482">
        <v>2018</v>
      </c>
      <c r="C482">
        <v>11662.12</v>
      </c>
    </row>
    <row r="483" spans="1:3" x14ac:dyDescent="0.35">
      <c r="A483" t="s">
        <v>74</v>
      </c>
      <c r="B483">
        <v>2019</v>
      </c>
      <c r="C483">
        <v>11915.69</v>
      </c>
    </row>
    <row r="484" spans="1:3" x14ac:dyDescent="0.35">
      <c r="A484" t="s">
        <v>74</v>
      </c>
      <c r="B484">
        <v>2020</v>
      </c>
      <c r="C484">
        <v>12084.55</v>
      </c>
    </row>
    <row r="485" spans="1:3" x14ac:dyDescent="0.35">
      <c r="A485" t="s">
        <v>74</v>
      </c>
      <c r="B485">
        <v>2021</v>
      </c>
      <c r="C485">
        <v>12665.78</v>
      </c>
    </row>
    <row r="486" spans="1:3" x14ac:dyDescent="0.35">
      <c r="A486" t="s">
        <v>74</v>
      </c>
      <c r="B486">
        <v>2022</v>
      </c>
      <c r="C486">
        <v>12651.27</v>
      </c>
    </row>
    <row r="487" spans="1:3" x14ac:dyDescent="0.35">
      <c r="A487" t="s">
        <v>74</v>
      </c>
      <c r="B487">
        <v>2023</v>
      </c>
      <c r="C487">
        <v>13152.05</v>
      </c>
    </row>
    <row r="488" spans="1:3" x14ac:dyDescent="0.35">
      <c r="A488" t="s">
        <v>75</v>
      </c>
      <c r="B488">
        <v>2015</v>
      </c>
      <c r="C488">
        <v>58.81</v>
      </c>
    </row>
    <row r="489" spans="1:3" x14ac:dyDescent="0.35">
      <c r="A489" t="s">
        <v>75</v>
      </c>
      <c r="B489">
        <v>2016</v>
      </c>
      <c r="C489">
        <v>58.75</v>
      </c>
    </row>
    <row r="490" spans="1:3" x14ac:dyDescent="0.35">
      <c r="A490" t="s">
        <v>75</v>
      </c>
      <c r="B490">
        <v>2017</v>
      </c>
      <c r="C490">
        <v>61.66</v>
      </c>
    </row>
    <row r="491" spans="1:3" x14ac:dyDescent="0.35">
      <c r="A491" t="s">
        <v>75</v>
      </c>
      <c r="B491">
        <v>2018</v>
      </c>
      <c r="C491">
        <v>59.97</v>
      </c>
    </row>
    <row r="492" spans="1:3" x14ac:dyDescent="0.35">
      <c r="A492" t="s">
        <v>75</v>
      </c>
      <c r="B492">
        <v>2019</v>
      </c>
      <c r="C492">
        <v>60.5</v>
      </c>
    </row>
    <row r="493" spans="1:3" x14ac:dyDescent="0.35">
      <c r="A493" t="s">
        <v>75</v>
      </c>
      <c r="B493">
        <v>2020</v>
      </c>
      <c r="C493">
        <v>59.68</v>
      </c>
    </row>
    <row r="494" spans="1:3" x14ac:dyDescent="0.35">
      <c r="A494" t="s">
        <v>75</v>
      </c>
      <c r="B494">
        <v>2021</v>
      </c>
      <c r="C494">
        <v>62.44</v>
      </c>
    </row>
    <row r="495" spans="1:3" x14ac:dyDescent="0.35">
      <c r="A495" t="s">
        <v>75</v>
      </c>
      <c r="B495">
        <v>2022</v>
      </c>
      <c r="C495">
        <v>63.5</v>
      </c>
    </row>
    <row r="496" spans="1:3" x14ac:dyDescent="0.35">
      <c r="A496" t="s">
        <v>75</v>
      </c>
      <c r="B496">
        <v>2023</v>
      </c>
      <c r="C496">
        <v>64.05</v>
      </c>
    </row>
    <row r="497" spans="1:3" x14ac:dyDescent="0.35">
      <c r="A497" t="s">
        <v>76</v>
      </c>
      <c r="B497">
        <v>2015</v>
      </c>
      <c r="C497">
        <v>19.61</v>
      </c>
    </row>
    <row r="498" spans="1:3" x14ac:dyDescent="0.35">
      <c r="A498" t="s">
        <v>76</v>
      </c>
      <c r="B498">
        <v>2016</v>
      </c>
      <c r="C498">
        <v>18.53</v>
      </c>
    </row>
    <row r="499" spans="1:3" x14ac:dyDescent="0.35">
      <c r="A499" t="s">
        <v>76</v>
      </c>
      <c r="B499">
        <v>2017</v>
      </c>
      <c r="C499">
        <v>18.690000000000001</v>
      </c>
    </row>
    <row r="500" spans="1:3" x14ac:dyDescent="0.35">
      <c r="A500" t="s">
        <v>76</v>
      </c>
      <c r="B500">
        <v>2018</v>
      </c>
      <c r="C500">
        <v>18.53</v>
      </c>
    </row>
    <row r="501" spans="1:3" x14ac:dyDescent="0.35">
      <c r="A501" t="s">
        <v>76</v>
      </c>
      <c r="B501">
        <v>2019</v>
      </c>
      <c r="C501">
        <v>18.02</v>
      </c>
    </row>
    <row r="502" spans="1:3" x14ac:dyDescent="0.35">
      <c r="A502" t="s">
        <v>76</v>
      </c>
      <c r="B502">
        <v>2020</v>
      </c>
      <c r="C502">
        <v>16.88</v>
      </c>
    </row>
    <row r="503" spans="1:3" x14ac:dyDescent="0.35">
      <c r="A503" t="s">
        <v>76</v>
      </c>
      <c r="B503">
        <v>2021</v>
      </c>
      <c r="C503">
        <v>15.25</v>
      </c>
    </row>
    <row r="504" spans="1:3" x14ac:dyDescent="0.35">
      <c r="A504" t="s">
        <v>76</v>
      </c>
      <c r="B504">
        <v>2022</v>
      </c>
      <c r="C504">
        <v>14.88</v>
      </c>
    </row>
    <row r="505" spans="1:3" x14ac:dyDescent="0.35">
      <c r="A505" t="s">
        <v>76</v>
      </c>
      <c r="B505">
        <v>2023</v>
      </c>
      <c r="C505">
        <v>14.19</v>
      </c>
    </row>
    <row r="506" spans="1:3" x14ac:dyDescent="0.35">
      <c r="A506" t="s">
        <v>77</v>
      </c>
      <c r="B506">
        <v>2015</v>
      </c>
      <c r="C506">
        <v>501.31</v>
      </c>
    </row>
    <row r="507" spans="1:3" x14ac:dyDescent="0.35">
      <c r="A507" t="s">
        <v>77</v>
      </c>
      <c r="B507">
        <v>2016</v>
      </c>
      <c r="C507">
        <v>558.48</v>
      </c>
    </row>
    <row r="508" spans="1:3" x14ac:dyDescent="0.35">
      <c r="A508" t="s">
        <v>77</v>
      </c>
      <c r="B508">
        <v>2017</v>
      </c>
      <c r="C508">
        <v>571.03</v>
      </c>
    </row>
    <row r="509" spans="1:3" x14ac:dyDescent="0.35">
      <c r="A509" t="s">
        <v>77</v>
      </c>
      <c r="B509">
        <v>2018</v>
      </c>
      <c r="C509">
        <v>575.20000000000005</v>
      </c>
    </row>
    <row r="510" spans="1:3" x14ac:dyDescent="0.35">
      <c r="A510" t="s">
        <v>77</v>
      </c>
      <c r="B510">
        <v>2019</v>
      </c>
      <c r="C510">
        <v>579.79999999999995</v>
      </c>
    </row>
    <row r="511" spans="1:3" x14ac:dyDescent="0.35">
      <c r="A511" t="s">
        <v>77</v>
      </c>
      <c r="B511">
        <v>2020</v>
      </c>
      <c r="C511">
        <v>558.26</v>
      </c>
    </row>
    <row r="512" spans="1:3" x14ac:dyDescent="0.35">
      <c r="A512" t="s">
        <v>77</v>
      </c>
      <c r="B512">
        <v>2021</v>
      </c>
      <c r="C512">
        <v>428.78</v>
      </c>
    </row>
    <row r="513" spans="1:3" x14ac:dyDescent="0.35">
      <c r="A513" t="s">
        <v>77</v>
      </c>
      <c r="B513">
        <v>2022</v>
      </c>
      <c r="C513">
        <v>386.19</v>
      </c>
    </row>
    <row r="514" spans="1:3" x14ac:dyDescent="0.35">
      <c r="A514" t="s">
        <v>77</v>
      </c>
      <c r="B514">
        <v>2023</v>
      </c>
      <c r="C514">
        <v>382.98</v>
      </c>
    </row>
    <row r="515" spans="1:3" x14ac:dyDescent="0.35">
      <c r="A515" t="s">
        <v>78</v>
      </c>
      <c r="B515">
        <v>2015</v>
      </c>
      <c r="C515">
        <v>319.92</v>
      </c>
    </row>
    <row r="516" spans="1:3" x14ac:dyDescent="0.35">
      <c r="A516" t="s">
        <v>78</v>
      </c>
      <c r="B516">
        <v>2016</v>
      </c>
      <c r="C516">
        <v>304.62</v>
      </c>
    </row>
    <row r="517" spans="1:3" x14ac:dyDescent="0.35">
      <c r="A517" t="s">
        <v>78</v>
      </c>
      <c r="B517">
        <v>2017</v>
      </c>
      <c r="C517">
        <v>319.67</v>
      </c>
    </row>
    <row r="518" spans="1:3" x14ac:dyDescent="0.35">
      <c r="A518" t="s">
        <v>78</v>
      </c>
      <c r="B518">
        <v>2018</v>
      </c>
      <c r="C518">
        <v>311.01</v>
      </c>
    </row>
    <row r="519" spans="1:3" x14ac:dyDescent="0.35">
      <c r="A519" t="s">
        <v>78</v>
      </c>
      <c r="B519">
        <v>2019</v>
      </c>
      <c r="C519">
        <v>293.48</v>
      </c>
    </row>
    <row r="520" spans="1:3" x14ac:dyDescent="0.35">
      <c r="A520" t="s">
        <v>78</v>
      </c>
      <c r="B520">
        <v>2020</v>
      </c>
      <c r="C520">
        <v>255.34</v>
      </c>
    </row>
    <row r="521" spans="1:3" x14ac:dyDescent="0.35">
      <c r="A521" t="s">
        <v>78</v>
      </c>
      <c r="B521">
        <v>2021</v>
      </c>
      <c r="C521">
        <v>286.49</v>
      </c>
    </row>
    <row r="522" spans="1:3" x14ac:dyDescent="0.35">
      <c r="A522" t="s">
        <v>78</v>
      </c>
      <c r="B522">
        <v>2022</v>
      </c>
      <c r="C522">
        <v>289.8</v>
      </c>
    </row>
    <row r="523" spans="1:3" x14ac:dyDescent="0.35">
      <c r="A523" t="s">
        <v>78</v>
      </c>
      <c r="B523">
        <v>2023</v>
      </c>
      <c r="C523">
        <v>271.61</v>
      </c>
    </row>
    <row r="524" spans="1:3" x14ac:dyDescent="0.35">
      <c r="A524" t="s">
        <v>79</v>
      </c>
      <c r="B524">
        <v>2015</v>
      </c>
      <c r="C524">
        <v>678.95</v>
      </c>
    </row>
    <row r="525" spans="1:3" x14ac:dyDescent="0.35">
      <c r="A525" t="s">
        <v>79</v>
      </c>
      <c r="B525">
        <v>2016</v>
      </c>
      <c r="C525">
        <v>722.32</v>
      </c>
    </row>
    <row r="526" spans="1:3" x14ac:dyDescent="0.35">
      <c r="A526" t="s">
        <v>79</v>
      </c>
      <c r="B526">
        <v>2017</v>
      </c>
      <c r="C526">
        <v>720.16</v>
      </c>
    </row>
    <row r="527" spans="1:3" x14ac:dyDescent="0.35">
      <c r="A527" t="s">
        <v>79</v>
      </c>
      <c r="B527">
        <v>2018</v>
      </c>
      <c r="C527">
        <v>703.37</v>
      </c>
    </row>
    <row r="528" spans="1:3" x14ac:dyDescent="0.35">
      <c r="A528" t="s">
        <v>79</v>
      </c>
      <c r="B528">
        <v>2019</v>
      </c>
      <c r="C528">
        <v>717.6</v>
      </c>
    </row>
    <row r="529" spans="1:3" x14ac:dyDescent="0.35">
      <c r="A529" t="s">
        <v>79</v>
      </c>
      <c r="B529">
        <v>2020</v>
      </c>
      <c r="C529">
        <v>664.85</v>
      </c>
    </row>
    <row r="530" spans="1:3" x14ac:dyDescent="0.35">
      <c r="A530" t="s">
        <v>79</v>
      </c>
      <c r="B530">
        <v>2021</v>
      </c>
      <c r="C530">
        <v>676.79</v>
      </c>
    </row>
    <row r="531" spans="1:3" x14ac:dyDescent="0.35">
      <c r="A531" t="s">
        <v>79</v>
      </c>
      <c r="B531">
        <v>2022</v>
      </c>
      <c r="C531">
        <v>708.03</v>
      </c>
    </row>
    <row r="532" spans="1:3" x14ac:dyDescent="0.35">
      <c r="A532" t="s">
        <v>79</v>
      </c>
      <c r="B532">
        <v>2023</v>
      </c>
      <c r="C532">
        <v>731.02</v>
      </c>
    </row>
    <row r="533" spans="1:3" x14ac:dyDescent="0.35">
      <c r="A533" t="s">
        <v>80</v>
      </c>
      <c r="B533">
        <v>2015</v>
      </c>
      <c r="C533">
        <v>20.37</v>
      </c>
    </row>
    <row r="534" spans="1:3" x14ac:dyDescent="0.35">
      <c r="A534" t="s">
        <v>80</v>
      </c>
      <c r="B534">
        <v>2016</v>
      </c>
      <c r="C534">
        <v>52.12</v>
      </c>
    </row>
    <row r="535" spans="1:3" x14ac:dyDescent="0.35">
      <c r="A535" t="s">
        <v>80</v>
      </c>
      <c r="B535">
        <v>2017</v>
      </c>
      <c r="C535">
        <v>51.95</v>
      </c>
    </row>
    <row r="536" spans="1:3" x14ac:dyDescent="0.35">
      <c r="A536" t="s">
        <v>80</v>
      </c>
      <c r="B536">
        <v>2018</v>
      </c>
      <c r="C536">
        <v>49.86</v>
      </c>
    </row>
    <row r="537" spans="1:3" x14ac:dyDescent="0.35">
      <c r="A537" t="s">
        <v>80</v>
      </c>
      <c r="B537">
        <v>2019</v>
      </c>
      <c r="C537">
        <v>49.3</v>
      </c>
    </row>
    <row r="538" spans="1:3" x14ac:dyDescent="0.35">
      <c r="A538" t="s">
        <v>80</v>
      </c>
      <c r="B538">
        <v>2020</v>
      </c>
      <c r="C538">
        <v>47.85</v>
      </c>
    </row>
    <row r="539" spans="1:3" x14ac:dyDescent="0.35">
      <c r="A539" t="s">
        <v>80</v>
      </c>
      <c r="B539">
        <v>2021</v>
      </c>
      <c r="C539">
        <v>57.43</v>
      </c>
    </row>
    <row r="540" spans="1:3" x14ac:dyDescent="0.35">
      <c r="A540" t="s">
        <v>80</v>
      </c>
      <c r="B540">
        <v>2022</v>
      </c>
      <c r="C540">
        <v>54.63</v>
      </c>
    </row>
    <row r="541" spans="1:3" x14ac:dyDescent="0.35">
      <c r="A541" t="s">
        <v>80</v>
      </c>
      <c r="B541">
        <v>2023</v>
      </c>
      <c r="C541">
        <v>53.53</v>
      </c>
    </row>
    <row r="542" spans="1:3" x14ac:dyDescent="0.35">
      <c r="A542" t="s">
        <v>81</v>
      </c>
      <c r="B542">
        <v>2015</v>
      </c>
      <c r="C542">
        <v>48.5</v>
      </c>
    </row>
    <row r="543" spans="1:3" x14ac:dyDescent="0.35">
      <c r="A543" t="s">
        <v>81</v>
      </c>
      <c r="B543">
        <v>2016</v>
      </c>
      <c r="C543">
        <v>50.38</v>
      </c>
    </row>
    <row r="544" spans="1:3" x14ac:dyDescent="0.35">
      <c r="A544" t="s">
        <v>81</v>
      </c>
      <c r="B544">
        <v>2017</v>
      </c>
      <c r="C544">
        <v>49.47</v>
      </c>
    </row>
    <row r="545" spans="1:3" x14ac:dyDescent="0.35">
      <c r="A545" t="s">
        <v>81</v>
      </c>
      <c r="B545">
        <v>2018</v>
      </c>
      <c r="C545">
        <v>48.13</v>
      </c>
    </row>
    <row r="546" spans="1:3" x14ac:dyDescent="0.35">
      <c r="A546" t="s">
        <v>81</v>
      </c>
      <c r="B546">
        <v>2019</v>
      </c>
      <c r="C546">
        <v>47.86</v>
      </c>
    </row>
    <row r="547" spans="1:3" x14ac:dyDescent="0.35">
      <c r="A547" t="s">
        <v>81</v>
      </c>
      <c r="B547">
        <v>2020</v>
      </c>
      <c r="C547">
        <v>45.37</v>
      </c>
    </row>
    <row r="548" spans="1:3" x14ac:dyDescent="0.35">
      <c r="A548" t="s">
        <v>81</v>
      </c>
      <c r="B548">
        <v>2021</v>
      </c>
      <c r="C548">
        <v>47</v>
      </c>
    </row>
    <row r="549" spans="1:3" x14ac:dyDescent="0.35">
      <c r="A549" t="s">
        <v>81</v>
      </c>
      <c r="B549">
        <v>2022</v>
      </c>
      <c r="C549">
        <v>43.85</v>
      </c>
    </row>
    <row r="550" spans="1:3" x14ac:dyDescent="0.35">
      <c r="A550" t="s">
        <v>81</v>
      </c>
      <c r="B550">
        <v>2023</v>
      </c>
      <c r="C550">
        <v>43.15</v>
      </c>
    </row>
    <row r="551" spans="1:3" x14ac:dyDescent="0.35">
      <c r="A551" t="s">
        <v>83</v>
      </c>
      <c r="B551">
        <v>2015</v>
      </c>
      <c r="C551">
        <v>678.95</v>
      </c>
    </row>
    <row r="552" spans="1:3" x14ac:dyDescent="0.35">
      <c r="A552" t="s">
        <v>83</v>
      </c>
      <c r="B552">
        <v>2016</v>
      </c>
      <c r="C552">
        <v>722.32</v>
      </c>
    </row>
    <row r="553" spans="1:3" x14ac:dyDescent="0.35">
      <c r="A553" t="s">
        <v>83</v>
      </c>
      <c r="B553">
        <v>2017</v>
      </c>
      <c r="C553">
        <v>720.16</v>
      </c>
    </row>
    <row r="554" spans="1:3" x14ac:dyDescent="0.35">
      <c r="A554" t="s">
        <v>83</v>
      </c>
      <c r="B554">
        <v>2018</v>
      </c>
      <c r="C554">
        <v>703.37</v>
      </c>
    </row>
    <row r="555" spans="1:3" x14ac:dyDescent="0.35">
      <c r="A555" t="s">
        <v>83</v>
      </c>
      <c r="B555">
        <v>2019</v>
      </c>
      <c r="C555">
        <v>717.6</v>
      </c>
    </row>
    <row r="556" spans="1:3" x14ac:dyDescent="0.35">
      <c r="A556" t="s">
        <v>83</v>
      </c>
      <c r="B556">
        <v>2020</v>
      </c>
      <c r="C556">
        <v>664.85</v>
      </c>
    </row>
    <row r="557" spans="1:3" x14ac:dyDescent="0.35">
      <c r="A557" t="s">
        <v>83</v>
      </c>
      <c r="B557">
        <v>2021</v>
      </c>
      <c r="C557">
        <v>676.79</v>
      </c>
    </row>
    <row r="558" spans="1:3" x14ac:dyDescent="0.35">
      <c r="A558" t="s">
        <v>83</v>
      </c>
      <c r="B558">
        <v>2022</v>
      </c>
      <c r="C558">
        <v>708.03</v>
      </c>
    </row>
    <row r="559" spans="1:3" x14ac:dyDescent="0.35">
      <c r="A559" t="s">
        <v>83</v>
      </c>
      <c r="B559">
        <v>2023</v>
      </c>
      <c r="C559">
        <v>731.02</v>
      </c>
    </row>
    <row r="560" spans="1:3" x14ac:dyDescent="0.35">
      <c r="A560" t="s">
        <v>84</v>
      </c>
      <c r="B560">
        <v>2015</v>
      </c>
      <c r="C560">
        <v>11103.35</v>
      </c>
    </row>
    <row r="561" spans="1:3" x14ac:dyDescent="0.35">
      <c r="A561" t="s">
        <v>84</v>
      </c>
      <c r="B561">
        <v>2016</v>
      </c>
      <c r="C561">
        <v>10955.02</v>
      </c>
    </row>
    <row r="562" spans="1:3" x14ac:dyDescent="0.35">
      <c r="A562" t="s">
        <v>84</v>
      </c>
      <c r="B562">
        <v>2017</v>
      </c>
      <c r="C562">
        <v>11189.72</v>
      </c>
    </row>
    <row r="563" spans="1:3" x14ac:dyDescent="0.35">
      <c r="A563" t="s">
        <v>84</v>
      </c>
      <c r="B563">
        <v>2018</v>
      </c>
      <c r="C563">
        <v>11662.12</v>
      </c>
    </row>
    <row r="564" spans="1:3" x14ac:dyDescent="0.35">
      <c r="A564" t="s">
        <v>84</v>
      </c>
      <c r="B564">
        <v>2019</v>
      </c>
      <c r="C564">
        <v>11915.69</v>
      </c>
    </row>
    <row r="565" spans="1:3" x14ac:dyDescent="0.35">
      <c r="A565" t="s">
        <v>84</v>
      </c>
      <c r="B565">
        <v>2020</v>
      </c>
      <c r="C565">
        <v>12084.55</v>
      </c>
    </row>
    <row r="566" spans="1:3" x14ac:dyDescent="0.35">
      <c r="A566" t="s">
        <v>84</v>
      </c>
      <c r="B566">
        <v>2021</v>
      </c>
      <c r="C566">
        <v>12665.78</v>
      </c>
    </row>
    <row r="567" spans="1:3" x14ac:dyDescent="0.35">
      <c r="A567" t="s">
        <v>84</v>
      </c>
      <c r="B567">
        <v>2022</v>
      </c>
      <c r="C567">
        <v>12651.27</v>
      </c>
    </row>
    <row r="568" spans="1:3" x14ac:dyDescent="0.35">
      <c r="A568" t="s">
        <v>84</v>
      </c>
      <c r="B568">
        <v>2023</v>
      </c>
      <c r="C568">
        <v>13152.05</v>
      </c>
    </row>
    <row r="569" spans="1:3" x14ac:dyDescent="0.35">
      <c r="A569" t="s">
        <v>85</v>
      </c>
      <c r="B569">
        <v>2015</v>
      </c>
      <c r="C569">
        <v>1192.92</v>
      </c>
    </row>
    <row r="570" spans="1:3" x14ac:dyDescent="0.35">
      <c r="A570" t="s">
        <v>85</v>
      </c>
      <c r="B570">
        <v>2016</v>
      </c>
      <c r="C570">
        <v>1194.45</v>
      </c>
    </row>
    <row r="571" spans="1:3" x14ac:dyDescent="0.35">
      <c r="A571" t="s">
        <v>85</v>
      </c>
      <c r="B571">
        <v>2017</v>
      </c>
      <c r="C571">
        <v>1182.19</v>
      </c>
    </row>
    <row r="572" spans="1:3" x14ac:dyDescent="0.35">
      <c r="A572" t="s">
        <v>85</v>
      </c>
      <c r="B572">
        <v>2018</v>
      </c>
      <c r="C572">
        <v>1143.5999999999999</v>
      </c>
    </row>
    <row r="573" spans="1:3" x14ac:dyDescent="0.35">
      <c r="A573" t="s">
        <v>85</v>
      </c>
      <c r="B573">
        <v>2019</v>
      </c>
      <c r="C573">
        <v>1108.04</v>
      </c>
    </row>
    <row r="574" spans="1:3" x14ac:dyDescent="0.35">
      <c r="A574" t="s">
        <v>85</v>
      </c>
      <c r="B574">
        <v>2020</v>
      </c>
      <c r="C574">
        <v>1051.6400000000001</v>
      </c>
    </row>
    <row r="575" spans="1:3" x14ac:dyDescent="0.35">
      <c r="A575" t="s">
        <v>85</v>
      </c>
      <c r="B575">
        <v>2021</v>
      </c>
      <c r="C575">
        <v>1103.6300000000001</v>
      </c>
    </row>
    <row r="576" spans="1:3" x14ac:dyDescent="0.35">
      <c r="A576" t="s">
        <v>85</v>
      </c>
      <c r="B576">
        <v>2022</v>
      </c>
      <c r="C576">
        <v>1078.93</v>
      </c>
    </row>
    <row r="577" spans="1:3" x14ac:dyDescent="0.35">
      <c r="A577" t="s">
        <v>85</v>
      </c>
      <c r="B577">
        <v>2023</v>
      </c>
      <c r="C577">
        <v>1034.23</v>
      </c>
    </row>
    <row r="578" spans="1:3" x14ac:dyDescent="0.35">
      <c r="A578" t="s">
        <v>86</v>
      </c>
      <c r="B578">
        <v>2015</v>
      </c>
      <c r="C578">
        <v>281.67</v>
      </c>
    </row>
    <row r="579" spans="1:3" x14ac:dyDescent="0.35">
      <c r="A579" t="s">
        <v>86</v>
      </c>
      <c r="B579">
        <v>2016</v>
      </c>
      <c r="C579">
        <v>286.38</v>
      </c>
    </row>
    <row r="580" spans="1:3" x14ac:dyDescent="0.35">
      <c r="A580" t="s">
        <v>86</v>
      </c>
      <c r="B580">
        <v>2017</v>
      </c>
      <c r="C580">
        <v>251.91</v>
      </c>
    </row>
    <row r="581" spans="1:3" x14ac:dyDescent="0.35">
      <c r="A581" t="s">
        <v>86</v>
      </c>
      <c r="B581">
        <v>2018</v>
      </c>
      <c r="C581">
        <v>268.36</v>
      </c>
    </row>
    <row r="582" spans="1:3" x14ac:dyDescent="0.35">
      <c r="A582" t="s">
        <v>86</v>
      </c>
      <c r="B582">
        <v>2019</v>
      </c>
      <c r="C582">
        <v>257.89</v>
      </c>
    </row>
    <row r="583" spans="1:3" x14ac:dyDescent="0.35">
      <c r="A583" t="s">
        <v>86</v>
      </c>
      <c r="B583">
        <v>2020</v>
      </c>
      <c r="C583">
        <v>246.25</v>
      </c>
    </row>
    <row r="584" spans="1:3" x14ac:dyDescent="0.35">
      <c r="A584" t="s">
        <v>86</v>
      </c>
      <c r="B584">
        <v>2021</v>
      </c>
      <c r="C584">
        <v>260.23</v>
      </c>
    </row>
    <row r="585" spans="1:3" x14ac:dyDescent="0.35">
      <c r="A585" t="s">
        <v>86</v>
      </c>
      <c r="B585">
        <v>2022</v>
      </c>
      <c r="C585">
        <v>181.31</v>
      </c>
    </row>
    <row r="586" spans="1:3" x14ac:dyDescent="0.35">
      <c r="A586" t="s">
        <v>86</v>
      </c>
      <c r="B586">
        <v>2023</v>
      </c>
      <c r="C586">
        <v>179.25</v>
      </c>
    </row>
    <row r="587" spans="1:3" x14ac:dyDescent="0.35">
      <c r="A587" t="s">
        <v>87</v>
      </c>
      <c r="B587">
        <v>2015</v>
      </c>
      <c r="C587">
        <v>512.42999999999995</v>
      </c>
    </row>
    <row r="588" spans="1:3" x14ac:dyDescent="0.35">
      <c r="A588" t="s">
        <v>87</v>
      </c>
      <c r="B588">
        <v>2016</v>
      </c>
      <c r="C588">
        <v>499.14</v>
      </c>
    </row>
    <row r="589" spans="1:3" x14ac:dyDescent="0.35">
      <c r="A589" t="s">
        <v>87</v>
      </c>
      <c r="B589">
        <v>2017</v>
      </c>
      <c r="C589">
        <v>488.5</v>
      </c>
    </row>
    <row r="590" spans="1:3" x14ac:dyDescent="0.35">
      <c r="A590" t="s">
        <v>87</v>
      </c>
      <c r="B590">
        <v>2018</v>
      </c>
      <c r="C590">
        <v>480.94</v>
      </c>
    </row>
    <row r="591" spans="1:3" x14ac:dyDescent="0.35">
      <c r="A591" t="s">
        <v>87</v>
      </c>
      <c r="B591">
        <v>2019</v>
      </c>
      <c r="C591">
        <v>466.07</v>
      </c>
    </row>
    <row r="592" spans="1:3" x14ac:dyDescent="0.35">
      <c r="A592" t="s">
        <v>87</v>
      </c>
      <c r="B592">
        <v>2020</v>
      </c>
      <c r="C592">
        <v>422.74</v>
      </c>
    </row>
    <row r="593" spans="1:3" x14ac:dyDescent="0.35">
      <c r="A593" t="s">
        <v>87</v>
      </c>
      <c r="B593">
        <v>2021</v>
      </c>
      <c r="C593">
        <v>443.43</v>
      </c>
    </row>
    <row r="594" spans="1:3" x14ac:dyDescent="0.35">
      <c r="A594" t="s">
        <v>87</v>
      </c>
      <c r="B594">
        <v>2022</v>
      </c>
      <c r="C594">
        <v>427.17</v>
      </c>
    </row>
    <row r="595" spans="1:3" x14ac:dyDescent="0.35">
      <c r="A595" t="s">
        <v>87</v>
      </c>
      <c r="B595">
        <v>2023</v>
      </c>
      <c r="C595">
        <v>407.91</v>
      </c>
    </row>
    <row r="596" spans="1:3" x14ac:dyDescent="0.35">
      <c r="A596" t="s">
        <v>88</v>
      </c>
      <c r="B596">
        <v>2015</v>
      </c>
      <c r="C596">
        <v>27.56</v>
      </c>
    </row>
    <row r="597" spans="1:3" x14ac:dyDescent="0.35">
      <c r="A597" t="s">
        <v>88</v>
      </c>
      <c r="B597">
        <v>2016</v>
      </c>
      <c r="C597">
        <v>38.71</v>
      </c>
    </row>
    <row r="598" spans="1:3" x14ac:dyDescent="0.35">
      <c r="A598" t="s">
        <v>88</v>
      </c>
      <c r="B598">
        <v>2017</v>
      </c>
      <c r="C598">
        <v>37.869999999999997</v>
      </c>
    </row>
    <row r="599" spans="1:3" x14ac:dyDescent="0.35">
      <c r="A599" t="s">
        <v>88</v>
      </c>
      <c r="B599">
        <v>2018</v>
      </c>
      <c r="C599">
        <v>37.64</v>
      </c>
    </row>
    <row r="600" spans="1:3" x14ac:dyDescent="0.35">
      <c r="A600" t="s">
        <v>88</v>
      </c>
      <c r="B600">
        <v>2019</v>
      </c>
      <c r="C600">
        <v>37.94</v>
      </c>
    </row>
    <row r="601" spans="1:3" x14ac:dyDescent="0.35">
      <c r="A601" t="s">
        <v>88</v>
      </c>
      <c r="B601">
        <v>2020</v>
      </c>
      <c r="C601">
        <v>36.020000000000003</v>
      </c>
    </row>
    <row r="602" spans="1:3" x14ac:dyDescent="0.35">
      <c r="A602" t="s">
        <v>88</v>
      </c>
      <c r="B602">
        <v>2021</v>
      </c>
      <c r="C602">
        <v>36.17</v>
      </c>
    </row>
    <row r="603" spans="1:3" x14ac:dyDescent="0.35">
      <c r="A603" t="s">
        <v>88</v>
      </c>
      <c r="B603">
        <v>2022</v>
      </c>
      <c r="C603">
        <v>35.24</v>
      </c>
    </row>
    <row r="604" spans="1:3" x14ac:dyDescent="0.35">
      <c r="A604" t="s">
        <v>88</v>
      </c>
      <c r="B604">
        <v>2023</v>
      </c>
      <c r="C604">
        <v>35.49</v>
      </c>
    </row>
    <row r="605" spans="1:3" x14ac:dyDescent="0.35">
      <c r="A605" t="s">
        <v>89</v>
      </c>
      <c r="B605">
        <v>2015</v>
      </c>
      <c r="C605">
        <v>5468.96</v>
      </c>
    </row>
    <row r="606" spans="1:3" x14ac:dyDescent="0.35">
      <c r="A606" t="s">
        <v>89</v>
      </c>
      <c r="B606">
        <v>2016</v>
      </c>
      <c r="C606">
        <v>5505.43</v>
      </c>
    </row>
    <row r="607" spans="1:3" x14ac:dyDescent="0.35">
      <c r="A607" t="s">
        <v>89</v>
      </c>
      <c r="B607">
        <v>2017</v>
      </c>
      <c r="C607">
        <v>5459.13</v>
      </c>
    </row>
    <row r="608" spans="1:3" x14ac:dyDescent="0.35">
      <c r="A608" t="s">
        <v>89</v>
      </c>
      <c r="B608">
        <v>2018</v>
      </c>
      <c r="C608">
        <v>5693.3</v>
      </c>
    </row>
    <row r="609" spans="1:3" x14ac:dyDescent="0.35">
      <c r="A609" t="s">
        <v>89</v>
      </c>
      <c r="B609">
        <v>2019</v>
      </c>
      <c r="C609">
        <v>5577.45</v>
      </c>
    </row>
    <row r="610" spans="1:3" x14ac:dyDescent="0.35">
      <c r="A610" t="s">
        <v>89</v>
      </c>
      <c r="B610">
        <v>2020</v>
      </c>
      <c r="C610">
        <v>5022.8900000000003</v>
      </c>
    </row>
    <row r="611" spans="1:3" x14ac:dyDescent="0.35">
      <c r="A611" t="s">
        <v>89</v>
      </c>
      <c r="B611">
        <v>2021</v>
      </c>
      <c r="C611">
        <v>5563.7</v>
      </c>
    </row>
    <row r="612" spans="1:3" x14ac:dyDescent="0.35">
      <c r="A612" t="s">
        <v>89</v>
      </c>
      <c r="B612">
        <v>2022</v>
      </c>
      <c r="C612">
        <v>5638.18</v>
      </c>
    </row>
    <row r="613" spans="1:3" x14ac:dyDescent="0.35">
      <c r="A613" t="s">
        <v>89</v>
      </c>
      <c r="B613">
        <v>2023</v>
      </c>
      <c r="C613">
        <v>5434.18</v>
      </c>
    </row>
    <row r="614" spans="1:3" x14ac:dyDescent="0.35">
      <c r="A614" t="s">
        <v>90</v>
      </c>
      <c r="B614">
        <v>2015</v>
      </c>
      <c r="C614">
        <v>678.95</v>
      </c>
    </row>
    <row r="615" spans="1:3" x14ac:dyDescent="0.35">
      <c r="A615" t="s">
        <v>90</v>
      </c>
      <c r="B615">
        <v>2016</v>
      </c>
      <c r="C615">
        <v>722.32</v>
      </c>
    </row>
    <row r="616" spans="1:3" x14ac:dyDescent="0.35">
      <c r="A616" t="s">
        <v>90</v>
      </c>
      <c r="B616">
        <v>2017</v>
      </c>
      <c r="C616">
        <v>720.16</v>
      </c>
    </row>
    <row r="617" spans="1:3" x14ac:dyDescent="0.35">
      <c r="A617" t="s">
        <v>90</v>
      </c>
      <c r="B617">
        <v>2018</v>
      </c>
      <c r="C617">
        <v>703.37</v>
      </c>
    </row>
    <row r="618" spans="1:3" x14ac:dyDescent="0.35">
      <c r="A618" t="s">
        <v>90</v>
      </c>
      <c r="B618">
        <v>2019</v>
      </c>
      <c r="C618">
        <v>717.6</v>
      </c>
    </row>
    <row r="619" spans="1:3" x14ac:dyDescent="0.35">
      <c r="A619" t="s">
        <v>90</v>
      </c>
      <c r="B619">
        <v>2020</v>
      </c>
      <c r="C619">
        <v>664.85</v>
      </c>
    </row>
    <row r="620" spans="1:3" x14ac:dyDescent="0.35">
      <c r="A620" t="s">
        <v>90</v>
      </c>
      <c r="B620">
        <v>2021</v>
      </c>
      <c r="C620">
        <v>676.79</v>
      </c>
    </row>
    <row r="621" spans="1:3" x14ac:dyDescent="0.35">
      <c r="A621" t="s">
        <v>90</v>
      </c>
      <c r="B621">
        <v>2022</v>
      </c>
      <c r="C621">
        <v>708.03</v>
      </c>
    </row>
    <row r="622" spans="1:3" x14ac:dyDescent="0.35">
      <c r="A622" t="s">
        <v>90</v>
      </c>
      <c r="B622">
        <v>2023</v>
      </c>
      <c r="C622">
        <v>731.02</v>
      </c>
    </row>
    <row r="623" spans="1:3" x14ac:dyDescent="0.35">
      <c r="A623" t="s">
        <v>91</v>
      </c>
      <c r="B623">
        <v>2015</v>
      </c>
      <c r="C623">
        <v>678.95</v>
      </c>
    </row>
    <row r="624" spans="1:3" x14ac:dyDescent="0.35">
      <c r="A624" t="s">
        <v>91</v>
      </c>
      <c r="B624">
        <v>2016</v>
      </c>
      <c r="C624">
        <v>722.32</v>
      </c>
    </row>
    <row r="625" spans="1:3" x14ac:dyDescent="0.35">
      <c r="A625" t="s">
        <v>91</v>
      </c>
      <c r="B625">
        <v>2017</v>
      </c>
      <c r="C625">
        <v>720.16</v>
      </c>
    </row>
    <row r="626" spans="1:3" x14ac:dyDescent="0.35">
      <c r="A626" t="s">
        <v>91</v>
      </c>
      <c r="B626">
        <v>2018</v>
      </c>
      <c r="C626">
        <v>703.37</v>
      </c>
    </row>
    <row r="627" spans="1:3" x14ac:dyDescent="0.35">
      <c r="A627" t="s">
        <v>91</v>
      </c>
      <c r="B627">
        <v>2019</v>
      </c>
      <c r="C627">
        <v>717.6</v>
      </c>
    </row>
    <row r="628" spans="1:3" x14ac:dyDescent="0.35">
      <c r="A628" t="s">
        <v>91</v>
      </c>
      <c r="B628">
        <v>2020</v>
      </c>
      <c r="C628">
        <v>664.85</v>
      </c>
    </row>
    <row r="629" spans="1:3" x14ac:dyDescent="0.35">
      <c r="A629" t="s">
        <v>91</v>
      </c>
      <c r="B629">
        <v>2021</v>
      </c>
      <c r="C629">
        <v>676.79</v>
      </c>
    </row>
    <row r="630" spans="1:3" x14ac:dyDescent="0.35">
      <c r="A630" t="s">
        <v>91</v>
      </c>
      <c r="B630">
        <v>2022</v>
      </c>
      <c r="C630">
        <v>708.03</v>
      </c>
    </row>
    <row r="631" spans="1:3" x14ac:dyDescent="0.35">
      <c r="A631" t="s">
        <v>91</v>
      </c>
      <c r="B631">
        <v>2023</v>
      </c>
      <c r="C631">
        <v>731.02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3"/>
  <sheetViews>
    <sheetView workbookViewId="0">
      <selection activeCell="N84" sqref="N84"/>
    </sheetView>
  </sheetViews>
  <sheetFormatPr defaultRowHeight="14.5" x14ac:dyDescent="0.35"/>
  <cols>
    <col min="1" max="1" width="25" customWidth="1"/>
    <col min="2" max="2" width="10" customWidth="1"/>
    <col min="3" max="3" width="18.453125" customWidth="1"/>
    <col min="4" max="4" width="15" customWidth="1"/>
    <col min="5" max="5" width="18" customWidth="1"/>
  </cols>
  <sheetData>
    <row r="1" spans="1:5" x14ac:dyDescent="0.35">
      <c r="A1" s="8" t="s">
        <v>13</v>
      </c>
      <c r="B1" s="8" t="s">
        <v>14</v>
      </c>
      <c r="C1" s="8" t="s">
        <v>15</v>
      </c>
      <c r="D1" s="8" t="s">
        <v>16</v>
      </c>
      <c r="E1" s="8" t="s">
        <v>92</v>
      </c>
    </row>
    <row r="2" spans="1:5" hidden="1" x14ac:dyDescent="0.35">
      <c r="A2" t="s">
        <v>19</v>
      </c>
      <c r="B2">
        <v>2015</v>
      </c>
      <c r="C2">
        <v>11.89</v>
      </c>
      <c r="D2" t="s">
        <v>20</v>
      </c>
      <c r="E2">
        <v>789.07</v>
      </c>
    </row>
    <row r="3" spans="1:5" hidden="1" x14ac:dyDescent="0.35">
      <c r="A3" t="s">
        <v>19</v>
      </c>
      <c r="B3">
        <v>2016</v>
      </c>
      <c r="C3">
        <v>15.37</v>
      </c>
      <c r="D3" t="s">
        <v>20</v>
      </c>
      <c r="E3">
        <v>886.24</v>
      </c>
    </row>
    <row r="4" spans="1:5" hidden="1" x14ac:dyDescent="0.35">
      <c r="A4" t="s">
        <v>19</v>
      </c>
      <c r="B4">
        <v>2017</v>
      </c>
      <c r="C4">
        <v>15.03</v>
      </c>
      <c r="D4" t="s">
        <v>18</v>
      </c>
      <c r="E4">
        <v>905.03</v>
      </c>
    </row>
    <row r="5" spans="1:5" hidden="1" x14ac:dyDescent="0.35">
      <c r="A5" t="s">
        <v>19</v>
      </c>
      <c r="B5">
        <v>2017</v>
      </c>
      <c r="C5">
        <v>22.54</v>
      </c>
      <c r="D5" t="s">
        <v>20</v>
      </c>
      <c r="E5">
        <v>905.03</v>
      </c>
    </row>
    <row r="6" spans="1:5" hidden="1" x14ac:dyDescent="0.35">
      <c r="A6" t="s">
        <v>19</v>
      </c>
      <c r="B6">
        <v>2018</v>
      </c>
      <c r="C6">
        <v>23.25</v>
      </c>
      <c r="D6" t="s">
        <v>18</v>
      </c>
      <c r="E6">
        <v>923.96</v>
      </c>
    </row>
    <row r="7" spans="1:5" hidden="1" x14ac:dyDescent="0.35">
      <c r="A7" t="s">
        <v>19</v>
      </c>
      <c r="B7">
        <v>2018</v>
      </c>
      <c r="C7">
        <v>23.25</v>
      </c>
      <c r="D7" t="s">
        <v>20</v>
      </c>
      <c r="E7">
        <v>923.96</v>
      </c>
    </row>
    <row r="8" spans="1:5" hidden="1" x14ac:dyDescent="0.35">
      <c r="A8" t="s">
        <v>19</v>
      </c>
      <c r="B8">
        <v>2019</v>
      </c>
      <c r="C8">
        <v>22.49</v>
      </c>
      <c r="D8" t="s">
        <v>18</v>
      </c>
      <c r="E8">
        <v>915.12</v>
      </c>
    </row>
    <row r="9" spans="1:5" hidden="1" x14ac:dyDescent="0.35">
      <c r="A9" t="s">
        <v>19</v>
      </c>
      <c r="B9">
        <v>2019</v>
      </c>
      <c r="C9">
        <v>22.49</v>
      </c>
      <c r="D9" t="s">
        <v>20</v>
      </c>
      <c r="E9">
        <v>915.12</v>
      </c>
    </row>
    <row r="10" spans="1:5" hidden="1" x14ac:dyDescent="0.35">
      <c r="A10" t="s">
        <v>19</v>
      </c>
      <c r="B10">
        <v>2020</v>
      </c>
      <c r="C10">
        <v>21.1</v>
      </c>
      <c r="D10" t="s">
        <v>20</v>
      </c>
      <c r="E10">
        <v>853.61</v>
      </c>
    </row>
    <row r="11" spans="1:5" hidden="1" x14ac:dyDescent="0.35">
      <c r="A11" t="s">
        <v>19</v>
      </c>
      <c r="B11">
        <v>2021</v>
      </c>
      <c r="C11">
        <v>31.83</v>
      </c>
      <c r="D11" t="s">
        <v>20</v>
      </c>
      <c r="E11">
        <v>844.41</v>
      </c>
    </row>
    <row r="12" spans="1:5" hidden="1" x14ac:dyDescent="0.35">
      <c r="A12" t="s">
        <v>19</v>
      </c>
      <c r="B12">
        <v>2022</v>
      </c>
      <c r="C12">
        <v>39.96</v>
      </c>
      <c r="D12" t="s">
        <v>20</v>
      </c>
      <c r="E12">
        <v>857.27</v>
      </c>
    </row>
    <row r="13" spans="1:5" hidden="1" x14ac:dyDescent="0.35">
      <c r="A13" t="s">
        <v>19</v>
      </c>
      <c r="B13">
        <v>2023</v>
      </c>
      <c r="C13">
        <v>48.03</v>
      </c>
      <c r="D13" t="s">
        <v>20</v>
      </c>
      <c r="E13">
        <v>875.95</v>
      </c>
    </row>
    <row r="14" spans="1:5" hidden="1" x14ac:dyDescent="0.35">
      <c r="A14" t="s">
        <v>21</v>
      </c>
      <c r="B14">
        <v>2018</v>
      </c>
      <c r="C14">
        <v>8.84</v>
      </c>
      <c r="D14" t="s">
        <v>18</v>
      </c>
      <c r="E14">
        <v>442.66</v>
      </c>
    </row>
    <row r="15" spans="1:5" hidden="1" x14ac:dyDescent="0.35">
      <c r="A15" t="s">
        <v>21</v>
      </c>
      <c r="B15">
        <v>2019</v>
      </c>
      <c r="C15">
        <v>4.49</v>
      </c>
      <c r="D15" t="s">
        <v>18</v>
      </c>
      <c r="E15">
        <v>439.79</v>
      </c>
    </row>
    <row r="16" spans="1:5" hidden="1" x14ac:dyDescent="0.35">
      <c r="A16" t="s">
        <v>21</v>
      </c>
      <c r="B16">
        <v>2020</v>
      </c>
      <c r="C16">
        <v>4.78</v>
      </c>
      <c r="D16" t="s">
        <v>18</v>
      </c>
      <c r="E16">
        <v>425.46</v>
      </c>
    </row>
    <row r="17" spans="1:5" hidden="1" x14ac:dyDescent="0.35">
      <c r="A17" t="s">
        <v>21</v>
      </c>
      <c r="B17">
        <v>2021</v>
      </c>
      <c r="C17">
        <v>4.38</v>
      </c>
      <c r="D17" t="s">
        <v>18</v>
      </c>
      <c r="E17">
        <v>430.48</v>
      </c>
    </row>
    <row r="18" spans="1:5" hidden="1" x14ac:dyDescent="0.35">
      <c r="A18" t="s">
        <v>21</v>
      </c>
      <c r="B18">
        <v>2022</v>
      </c>
      <c r="C18">
        <v>5.63</v>
      </c>
      <c r="D18" t="s">
        <v>18</v>
      </c>
      <c r="E18">
        <v>450.36</v>
      </c>
    </row>
    <row r="19" spans="1:5" x14ac:dyDescent="0.35">
      <c r="A19" t="s">
        <v>21</v>
      </c>
      <c r="B19">
        <v>2023</v>
      </c>
      <c r="C19">
        <v>4.97</v>
      </c>
      <c r="D19" t="s">
        <v>18</v>
      </c>
      <c r="E19">
        <v>435.28</v>
      </c>
    </row>
    <row r="20" spans="1:5" hidden="1" x14ac:dyDescent="0.35">
      <c r="A20" t="s">
        <v>23</v>
      </c>
      <c r="B20">
        <v>2023</v>
      </c>
      <c r="C20">
        <v>35.340000000000003</v>
      </c>
      <c r="D20" t="s">
        <v>20</v>
      </c>
      <c r="E20">
        <v>61.93</v>
      </c>
    </row>
    <row r="21" spans="1:5" hidden="1" x14ac:dyDescent="0.35">
      <c r="A21" t="s">
        <v>24</v>
      </c>
      <c r="B21">
        <v>2021</v>
      </c>
      <c r="C21">
        <v>8.32</v>
      </c>
      <c r="D21" t="s">
        <v>18</v>
      </c>
      <c r="E21">
        <v>676.79</v>
      </c>
    </row>
    <row r="22" spans="1:5" hidden="1" x14ac:dyDescent="0.35">
      <c r="A22" t="s">
        <v>25</v>
      </c>
      <c r="B22">
        <v>2015</v>
      </c>
      <c r="C22">
        <v>8.2100000000000009</v>
      </c>
      <c r="D22" t="s">
        <v>20</v>
      </c>
      <c r="E22">
        <v>11103.35</v>
      </c>
    </row>
    <row r="23" spans="1:5" hidden="1" x14ac:dyDescent="0.35">
      <c r="A23" t="s">
        <v>25</v>
      </c>
      <c r="B23">
        <v>2016</v>
      </c>
      <c r="C23">
        <v>8.0299999999999994</v>
      </c>
      <c r="D23" t="s">
        <v>20</v>
      </c>
      <c r="E23">
        <v>10955.02</v>
      </c>
    </row>
    <row r="24" spans="1:5" hidden="1" x14ac:dyDescent="0.35">
      <c r="A24" t="s">
        <v>25</v>
      </c>
      <c r="B24">
        <v>2017</v>
      </c>
      <c r="C24">
        <v>7.4</v>
      </c>
      <c r="D24" t="s">
        <v>20</v>
      </c>
      <c r="E24">
        <v>11189.72</v>
      </c>
    </row>
    <row r="25" spans="1:5" hidden="1" x14ac:dyDescent="0.35">
      <c r="A25" t="s">
        <v>25</v>
      </c>
      <c r="B25">
        <v>2018</v>
      </c>
      <c r="C25">
        <v>9.44</v>
      </c>
      <c r="D25" t="s">
        <v>20</v>
      </c>
      <c r="E25">
        <v>11662.12</v>
      </c>
    </row>
    <row r="26" spans="1:5" hidden="1" x14ac:dyDescent="0.35">
      <c r="A26" t="s">
        <v>25</v>
      </c>
      <c r="B26">
        <v>2019</v>
      </c>
      <c r="C26">
        <v>10.4</v>
      </c>
      <c r="D26" t="s">
        <v>20</v>
      </c>
      <c r="E26">
        <v>11915.69</v>
      </c>
    </row>
    <row r="27" spans="1:5" hidden="1" x14ac:dyDescent="0.35">
      <c r="A27" t="s">
        <v>25</v>
      </c>
      <c r="B27">
        <v>2020</v>
      </c>
      <c r="C27">
        <v>12.2</v>
      </c>
      <c r="D27" t="s">
        <v>20</v>
      </c>
      <c r="E27">
        <v>12084.55</v>
      </c>
    </row>
    <row r="28" spans="1:5" hidden="1" x14ac:dyDescent="0.35">
      <c r="A28" t="s">
        <v>25</v>
      </c>
      <c r="B28">
        <v>2021</v>
      </c>
      <c r="C28">
        <v>4.32</v>
      </c>
      <c r="D28" t="s">
        <v>20</v>
      </c>
      <c r="E28">
        <v>12665.78</v>
      </c>
    </row>
    <row r="29" spans="1:5" hidden="1" x14ac:dyDescent="0.35">
      <c r="A29" t="s">
        <v>25</v>
      </c>
      <c r="B29">
        <v>2022</v>
      </c>
      <c r="C29">
        <v>6.53</v>
      </c>
      <c r="D29" t="s">
        <v>20</v>
      </c>
      <c r="E29">
        <v>12651.27</v>
      </c>
    </row>
    <row r="30" spans="1:5" hidden="1" x14ac:dyDescent="0.35">
      <c r="A30" t="s">
        <v>25</v>
      </c>
      <c r="B30">
        <v>2023</v>
      </c>
      <c r="C30">
        <v>12.96</v>
      </c>
      <c r="D30" t="s">
        <v>20</v>
      </c>
      <c r="E30">
        <v>13152.05</v>
      </c>
    </row>
    <row r="31" spans="1:5" hidden="1" x14ac:dyDescent="0.35">
      <c r="A31" t="s">
        <v>26</v>
      </c>
      <c r="B31">
        <v>2015</v>
      </c>
      <c r="C31">
        <v>23.78</v>
      </c>
      <c r="D31" t="s">
        <v>18</v>
      </c>
      <c r="E31">
        <v>789.07</v>
      </c>
    </row>
    <row r="32" spans="1:5" hidden="1" x14ac:dyDescent="0.35">
      <c r="A32" t="s">
        <v>26</v>
      </c>
      <c r="B32">
        <v>2016</v>
      </c>
      <c r="C32">
        <v>23.06</v>
      </c>
      <c r="D32" t="s">
        <v>18</v>
      </c>
      <c r="E32">
        <v>886.24</v>
      </c>
    </row>
    <row r="33" spans="1:5" hidden="1" x14ac:dyDescent="0.35">
      <c r="A33" t="s">
        <v>26</v>
      </c>
      <c r="B33">
        <v>2017</v>
      </c>
      <c r="C33">
        <v>22.54</v>
      </c>
      <c r="D33" t="s">
        <v>18</v>
      </c>
      <c r="E33">
        <v>905.03</v>
      </c>
    </row>
    <row r="34" spans="1:5" hidden="1" x14ac:dyDescent="0.35">
      <c r="A34" t="s">
        <v>26</v>
      </c>
      <c r="B34">
        <v>2018</v>
      </c>
      <c r="C34">
        <v>27.13</v>
      </c>
      <c r="D34" t="s">
        <v>18</v>
      </c>
      <c r="E34">
        <v>923.96</v>
      </c>
    </row>
    <row r="35" spans="1:5" hidden="1" x14ac:dyDescent="0.35">
      <c r="A35" t="s">
        <v>26</v>
      </c>
      <c r="B35">
        <v>2019</v>
      </c>
      <c r="C35">
        <v>29.99</v>
      </c>
      <c r="D35" t="s">
        <v>18</v>
      </c>
      <c r="E35">
        <v>915.12</v>
      </c>
    </row>
    <row r="36" spans="1:5" hidden="1" x14ac:dyDescent="0.35">
      <c r="A36" t="s">
        <v>26</v>
      </c>
      <c r="B36">
        <v>2020</v>
      </c>
      <c r="C36">
        <v>28.14</v>
      </c>
      <c r="D36" t="s">
        <v>18</v>
      </c>
      <c r="E36">
        <v>853.61</v>
      </c>
    </row>
    <row r="37" spans="1:5" hidden="1" x14ac:dyDescent="0.35">
      <c r="A37" t="s">
        <v>26</v>
      </c>
      <c r="B37">
        <v>2021</v>
      </c>
      <c r="C37">
        <v>35.81</v>
      </c>
      <c r="D37" t="s">
        <v>18</v>
      </c>
      <c r="E37">
        <v>844.41</v>
      </c>
    </row>
    <row r="38" spans="1:5" hidden="1" x14ac:dyDescent="0.35">
      <c r="A38" t="s">
        <v>26</v>
      </c>
      <c r="B38">
        <v>2021</v>
      </c>
      <c r="C38">
        <v>19.899999999999999</v>
      </c>
      <c r="D38" t="s">
        <v>20</v>
      </c>
      <c r="E38">
        <v>844.41</v>
      </c>
    </row>
    <row r="39" spans="1:5" hidden="1" x14ac:dyDescent="0.35">
      <c r="A39" t="s">
        <v>26</v>
      </c>
      <c r="B39">
        <v>2022</v>
      </c>
      <c r="C39">
        <v>39.96</v>
      </c>
      <c r="D39" t="s">
        <v>18</v>
      </c>
      <c r="E39">
        <v>857.27</v>
      </c>
    </row>
    <row r="40" spans="1:5" hidden="1" x14ac:dyDescent="0.35">
      <c r="A40" t="s">
        <v>26</v>
      </c>
      <c r="B40">
        <v>2022</v>
      </c>
      <c r="C40">
        <v>19.98</v>
      </c>
      <c r="D40" t="s">
        <v>20</v>
      </c>
      <c r="E40">
        <v>857.27</v>
      </c>
    </row>
    <row r="41" spans="1:5" x14ac:dyDescent="0.35">
      <c r="A41" t="s">
        <v>26</v>
      </c>
      <c r="B41">
        <v>2023</v>
      </c>
      <c r="C41">
        <v>48.03</v>
      </c>
      <c r="D41" t="s">
        <v>18</v>
      </c>
      <c r="E41">
        <v>875.95</v>
      </c>
    </row>
    <row r="42" spans="1:5" hidden="1" x14ac:dyDescent="0.35">
      <c r="A42" t="s">
        <v>26</v>
      </c>
      <c r="B42">
        <v>2023</v>
      </c>
      <c r="C42">
        <v>18.47</v>
      </c>
      <c r="D42" t="s">
        <v>20</v>
      </c>
      <c r="E42">
        <v>875.95</v>
      </c>
    </row>
    <row r="43" spans="1:5" hidden="1" x14ac:dyDescent="0.35">
      <c r="A43" t="s">
        <v>27</v>
      </c>
      <c r="B43">
        <v>2015</v>
      </c>
      <c r="C43">
        <v>12.49</v>
      </c>
      <c r="D43" t="s">
        <v>20</v>
      </c>
      <c r="E43">
        <v>5468.96</v>
      </c>
    </row>
    <row r="44" spans="1:5" hidden="1" x14ac:dyDescent="0.35">
      <c r="A44" t="s">
        <v>27</v>
      </c>
      <c r="B44">
        <v>2016</v>
      </c>
      <c r="C44">
        <v>12.8</v>
      </c>
      <c r="D44" t="s">
        <v>20</v>
      </c>
      <c r="E44">
        <v>5505.43</v>
      </c>
    </row>
    <row r="45" spans="1:5" hidden="1" x14ac:dyDescent="0.35">
      <c r="A45" t="s">
        <v>27</v>
      </c>
      <c r="B45">
        <v>2017</v>
      </c>
      <c r="C45">
        <v>15.08</v>
      </c>
      <c r="D45" t="s">
        <v>20</v>
      </c>
      <c r="E45">
        <v>5459.13</v>
      </c>
    </row>
    <row r="46" spans="1:5" hidden="1" x14ac:dyDescent="0.35">
      <c r="A46" t="s">
        <v>27</v>
      </c>
      <c r="B46">
        <v>2018</v>
      </c>
      <c r="C46">
        <v>15.1</v>
      </c>
      <c r="D46" t="s">
        <v>20</v>
      </c>
      <c r="E46">
        <v>5693.3</v>
      </c>
    </row>
    <row r="47" spans="1:5" hidden="1" x14ac:dyDescent="0.35">
      <c r="A47" t="s">
        <v>27</v>
      </c>
      <c r="B47">
        <v>2019</v>
      </c>
      <c r="C47">
        <v>15.77</v>
      </c>
      <c r="D47" t="s">
        <v>20</v>
      </c>
      <c r="E47">
        <v>5577.45</v>
      </c>
    </row>
    <row r="48" spans="1:5" hidden="1" x14ac:dyDescent="0.35">
      <c r="A48" t="s">
        <v>27</v>
      </c>
      <c r="B48">
        <v>2020</v>
      </c>
      <c r="C48">
        <v>15.3</v>
      </c>
      <c r="D48" t="s">
        <v>20</v>
      </c>
      <c r="E48">
        <v>5022.8900000000003</v>
      </c>
    </row>
    <row r="49" spans="1:5" hidden="1" x14ac:dyDescent="0.35">
      <c r="A49" t="s">
        <v>27</v>
      </c>
      <c r="B49">
        <v>2021</v>
      </c>
      <c r="C49">
        <v>17.940000000000001</v>
      </c>
      <c r="D49" t="s">
        <v>20</v>
      </c>
      <c r="E49">
        <v>5563.7</v>
      </c>
    </row>
    <row r="50" spans="1:5" hidden="1" x14ac:dyDescent="0.35">
      <c r="A50" t="s">
        <v>27</v>
      </c>
      <c r="B50">
        <v>2022</v>
      </c>
      <c r="C50">
        <v>30.82</v>
      </c>
      <c r="D50" t="s">
        <v>20</v>
      </c>
      <c r="E50">
        <v>5638.18</v>
      </c>
    </row>
    <row r="51" spans="1:5" hidden="1" x14ac:dyDescent="0.35">
      <c r="A51" t="s">
        <v>27</v>
      </c>
      <c r="B51">
        <v>2023</v>
      </c>
      <c r="C51">
        <v>29.84</v>
      </c>
      <c r="D51" t="s">
        <v>20</v>
      </c>
      <c r="E51">
        <v>5434.18</v>
      </c>
    </row>
    <row r="52" spans="1:5" hidden="1" x14ac:dyDescent="0.35">
      <c r="A52" t="s">
        <v>28</v>
      </c>
      <c r="B52">
        <v>2019</v>
      </c>
      <c r="C52">
        <v>15</v>
      </c>
      <c r="D52" t="s">
        <v>18</v>
      </c>
      <c r="E52">
        <v>915.12</v>
      </c>
    </row>
    <row r="53" spans="1:5" hidden="1" x14ac:dyDescent="0.35">
      <c r="A53" t="s">
        <v>28</v>
      </c>
      <c r="B53">
        <v>2020</v>
      </c>
      <c r="C53">
        <v>21.1</v>
      </c>
      <c r="D53" t="s">
        <v>18</v>
      </c>
      <c r="E53">
        <v>853.61</v>
      </c>
    </row>
    <row r="54" spans="1:5" hidden="1" x14ac:dyDescent="0.35">
      <c r="A54" t="s">
        <v>28</v>
      </c>
      <c r="B54">
        <v>2021</v>
      </c>
      <c r="C54">
        <v>31.83</v>
      </c>
      <c r="D54" t="s">
        <v>18</v>
      </c>
      <c r="E54">
        <v>844.41</v>
      </c>
    </row>
    <row r="55" spans="1:5" hidden="1" x14ac:dyDescent="0.35">
      <c r="A55" t="s">
        <v>28</v>
      </c>
      <c r="B55">
        <v>2021</v>
      </c>
      <c r="C55">
        <v>31.83</v>
      </c>
      <c r="D55" t="s">
        <v>20</v>
      </c>
      <c r="E55">
        <v>844.41</v>
      </c>
    </row>
    <row r="56" spans="1:5" hidden="1" x14ac:dyDescent="0.35">
      <c r="A56" t="s">
        <v>28</v>
      </c>
      <c r="B56">
        <v>2022</v>
      </c>
      <c r="C56">
        <v>39.96</v>
      </c>
      <c r="D56" t="s">
        <v>18</v>
      </c>
      <c r="E56">
        <v>857.27</v>
      </c>
    </row>
    <row r="57" spans="1:5" hidden="1" x14ac:dyDescent="0.35">
      <c r="A57" t="s">
        <v>28</v>
      </c>
      <c r="B57">
        <v>2022</v>
      </c>
      <c r="C57">
        <v>39.96</v>
      </c>
      <c r="D57" t="s">
        <v>20</v>
      </c>
      <c r="E57">
        <v>857.27</v>
      </c>
    </row>
    <row r="58" spans="1:5" x14ac:dyDescent="0.35">
      <c r="A58" t="s">
        <v>28</v>
      </c>
      <c r="B58">
        <v>2023</v>
      </c>
      <c r="C58">
        <v>48.03</v>
      </c>
      <c r="D58" t="s">
        <v>18</v>
      </c>
      <c r="E58">
        <v>875.95</v>
      </c>
    </row>
    <row r="59" spans="1:5" hidden="1" x14ac:dyDescent="0.35">
      <c r="A59" t="s">
        <v>28</v>
      </c>
      <c r="B59">
        <v>2023</v>
      </c>
      <c r="C59">
        <v>48.03</v>
      </c>
      <c r="D59" t="s">
        <v>20</v>
      </c>
      <c r="E59">
        <v>875.95</v>
      </c>
    </row>
    <row r="60" spans="1:5" hidden="1" x14ac:dyDescent="0.35">
      <c r="A60" t="s">
        <v>29</v>
      </c>
      <c r="B60">
        <v>2017</v>
      </c>
      <c r="C60">
        <v>5</v>
      </c>
      <c r="D60" t="s">
        <v>18</v>
      </c>
      <c r="E60">
        <v>113.8</v>
      </c>
    </row>
    <row r="61" spans="1:5" hidden="1" x14ac:dyDescent="0.35">
      <c r="A61" t="s">
        <v>29</v>
      </c>
      <c r="B61">
        <v>2018</v>
      </c>
      <c r="C61">
        <v>5</v>
      </c>
      <c r="D61" t="s">
        <v>18</v>
      </c>
      <c r="E61">
        <v>112.77</v>
      </c>
    </row>
    <row r="62" spans="1:5" hidden="1" x14ac:dyDescent="0.35">
      <c r="A62" t="s">
        <v>29</v>
      </c>
      <c r="B62">
        <v>2019</v>
      </c>
      <c r="C62">
        <v>5</v>
      </c>
      <c r="D62" t="s">
        <v>18</v>
      </c>
      <c r="E62">
        <v>118.85</v>
      </c>
    </row>
    <row r="63" spans="1:5" hidden="1" x14ac:dyDescent="0.35">
      <c r="A63" t="s">
        <v>29</v>
      </c>
      <c r="B63">
        <v>2020</v>
      </c>
      <c r="C63">
        <v>5</v>
      </c>
      <c r="D63" t="s">
        <v>18</v>
      </c>
      <c r="E63">
        <v>112.19</v>
      </c>
    </row>
    <row r="64" spans="1:5" hidden="1" x14ac:dyDescent="0.35">
      <c r="A64" t="s">
        <v>29</v>
      </c>
      <c r="B64">
        <v>2021</v>
      </c>
      <c r="C64">
        <v>5</v>
      </c>
      <c r="D64" t="s">
        <v>18</v>
      </c>
      <c r="E64">
        <v>111.84</v>
      </c>
    </row>
    <row r="65" spans="1:5" hidden="1" x14ac:dyDescent="0.35">
      <c r="A65" t="s">
        <v>29</v>
      </c>
      <c r="B65">
        <v>2022</v>
      </c>
      <c r="C65">
        <v>5</v>
      </c>
      <c r="D65" t="s">
        <v>18</v>
      </c>
      <c r="E65">
        <v>110.98</v>
      </c>
    </row>
    <row r="66" spans="1:5" x14ac:dyDescent="0.35">
      <c r="A66" t="s">
        <v>29</v>
      </c>
      <c r="B66">
        <v>2023</v>
      </c>
      <c r="C66">
        <v>5</v>
      </c>
      <c r="D66" t="s">
        <v>18</v>
      </c>
      <c r="E66">
        <v>102.71</v>
      </c>
    </row>
    <row r="67" spans="1:5" hidden="1" x14ac:dyDescent="0.35">
      <c r="A67" t="s">
        <v>30</v>
      </c>
      <c r="B67">
        <v>2022</v>
      </c>
      <c r="C67">
        <v>9.1999999999999993</v>
      </c>
      <c r="D67" t="s">
        <v>20</v>
      </c>
      <c r="E67">
        <v>12651.27</v>
      </c>
    </row>
    <row r="68" spans="1:5" hidden="1" x14ac:dyDescent="0.35">
      <c r="A68" t="s">
        <v>30</v>
      </c>
      <c r="B68">
        <v>2023</v>
      </c>
      <c r="C68">
        <v>8.15</v>
      </c>
      <c r="D68" t="s">
        <v>20</v>
      </c>
      <c r="E68">
        <v>13152.05</v>
      </c>
    </row>
    <row r="69" spans="1:5" hidden="1" x14ac:dyDescent="0.35">
      <c r="A69" t="s">
        <v>31</v>
      </c>
      <c r="B69">
        <v>2015</v>
      </c>
      <c r="C69">
        <v>3.9</v>
      </c>
      <c r="D69" t="s">
        <v>20</v>
      </c>
      <c r="E69">
        <v>11103.35</v>
      </c>
    </row>
    <row r="70" spans="1:5" hidden="1" x14ac:dyDescent="0.35">
      <c r="A70" t="s">
        <v>31</v>
      </c>
      <c r="B70">
        <v>2016</v>
      </c>
      <c r="C70">
        <v>1.2</v>
      </c>
      <c r="D70" t="s">
        <v>20</v>
      </c>
      <c r="E70">
        <v>10955.02</v>
      </c>
    </row>
    <row r="71" spans="1:5" hidden="1" x14ac:dyDescent="0.35">
      <c r="A71" t="s">
        <v>31</v>
      </c>
      <c r="B71">
        <v>2017</v>
      </c>
      <c r="C71">
        <v>0.22</v>
      </c>
      <c r="D71" t="s">
        <v>20</v>
      </c>
      <c r="E71">
        <v>11189.72</v>
      </c>
    </row>
    <row r="72" spans="1:5" hidden="1" x14ac:dyDescent="0.35">
      <c r="A72" t="s">
        <v>31</v>
      </c>
      <c r="B72">
        <v>2018</v>
      </c>
      <c r="C72">
        <v>3.82</v>
      </c>
      <c r="D72" t="s">
        <v>20</v>
      </c>
      <c r="E72">
        <v>11662.12</v>
      </c>
    </row>
    <row r="73" spans="1:5" hidden="1" x14ac:dyDescent="0.35">
      <c r="A73" t="s">
        <v>31</v>
      </c>
      <c r="B73">
        <v>2019</v>
      </c>
      <c r="C73">
        <v>0.55000000000000004</v>
      </c>
      <c r="D73" t="s">
        <v>20</v>
      </c>
      <c r="E73">
        <v>11915.69</v>
      </c>
    </row>
    <row r="74" spans="1:5" hidden="1" x14ac:dyDescent="0.35">
      <c r="A74" t="s">
        <v>31</v>
      </c>
      <c r="B74">
        <v>2020</v>
      </c>
      <c r="C74">
        <v>5.31</v>
      </c>
      <c r="D74" t="s">
        <v>20</v>
      </c>
      <c r="E74">
        <v>12084.55</v>
      </c>
    </row>
    <row r="75" spans="1:5" hidden="1" x14ac:dyDescent="0.35">
      <c r="A75" t="s">
        <v>31</v>
      </c>
      <c r="B75">
        <v>2021</v>
      </c>
      <c r="C75">
        <v>3.71</v>
      </c>
      <c r="D75" t="s">
        <v>20</v>
      </c>
      <c r="E75">
        <v>12665.78</v>
      </c>
    </row>
    <row r="76" spans="1:5" hidden="1" x14ac:dyDescent="0.35">
      <c r="A76" t="s">
        <v>31</v>
      </c>
      <c r="B76">
        <v>2022</v>
      </c>
      <c r="C76">
        <v>5.66</v>
      </c>
      <c r="D76" t="s">
        <v>20</v>
      </c>
      <c r="E76">
        <v>12651.27</v>
      </c>
    </row>
    <row r="77" spans="1:5" hidden="1" x14ac:dyDescent="0.35">
      <c r="A77" t="s">
        <v>31</v>
      </c>
      <c r="B77">
        <v>2023</v>
      </c>
      <c r="C77">
        <v>4.66</v>
      </c>
      <c r="D77" t="s">
        <v>20</v>
      </c>
      <c r="E77">
        <v>13152.05</v>
      </c>
    </row>
    <row r="78" spans="1:5" hidden="1" x14ac:dyDescent="0.35">
      <c r="A78" t="s">
        <v>32</v>
      </c>
      <c r="B78">
        <v>2017</v>
      </c>
      <c r="C78">
        <v>5.21</v>
      </c>
      <c r="D78" t="s">
        <v>18</v>
      </c>
      <c r="E78">
        <v>285.26</v>
      </c>
    </row>
    <row r="79" spans="1:5" hidden="1" x14ac:dyDescent="0.35">
      <c r="A79" t="s">
        <v>32</v>
      </c>
      <c r="B79">
        <v>2018</v>
      </c>
      <c r="C79">
        <v>5.67</v>
      </c>
      <c r="D79" t="s">
        <v>18</v>
      </c>
      <c r="E79">
        <v>293.89</v>
      </c>
    </row>
    <row r="80" spans="1:5" hidden="1" x14ac:dyDescent="0.35">
      <c r="A80" t="s">
        <v>32</v>
      </c>
      <c r="B80">
        <v>2019</v>
      </c>
      <c r="C80">
        <v>5.17</v>
      </c>
      <c r="D80" t="s">
        <v>18</v>
      </c>
      <c r="E80">
        <v>296.25</v>
      </c>
    </row>
    <row r="81" spans="1:5" hidden="1" x14ac:dyDescent="0.35">
      <c r="A81" t="s">
        <v>32</v>
      </c>
      <c r="B81">
        <v>2020</v>
      </c>
      <c r="C81">
        <v>4.24</v>
      </c>
      <c r="D81" t="s">
        <v>18</v>
      </c>
      <c r="E81">
        <v>288.5</v>
      </c>
    </row>
    <row r="82" spans="1:5" hidden="1" x14ac:dyDescent="0.35">
      <c r="A82" t="s">
        <v>32</v>
      </c>
      <c r="B82">
        <v>2021</v>
      </c>
      <c r="C82">
        <v>0</v>
      </c>
      <c r="D82" t="s">
        <v>18</v>
      </c>
      <c r="E82">
        <v>284.58999999999997</v>
      </c>
    </row>
    <row r="83" spans="1:5" hidden="1" x14ac:dyDescent="0.35">
      <c r="A83" t="s">
        <v>32</v>
      </c>
      <c r="B83">
        <v>2022</v>
      </c>
      <c r="C83">
        <v>5.01</v>
      </c>
      <c r="D83" t="s">
        <v>18</v>
      </c>
      <c r="E83">
        <v>289.18</v>
      </c>
    </row>
    <row r="84" spans="1:5" x14ac:dyDescent="0.35">
      <c r="A84" t="s">
        <v>32</v>
      </c>
      <c r="B84">
        <v>2023</v>
      </c>
      <c r="C84">
        <v>5.0599999999999996</v>
      </c>
      <c r="D84" t="s">
        <v>18</v>
      </c>
      <c r="E84">
        <v>294.08</v>
      </c>
    </row>
    <row r="85" spans="1:5" hidden="1" x14ac:dyDescent="0.35">
      <c r="A85" t="s">
        <v>33</v>
      </c>
      <c r="B85">
        <v>2015</v>
      </c>
      <c r="C85">
        <v>24.47</v>
      </c>
      <c r="D85" t="s">
        <v>18</v>
      </c>
      <c r="E85">
        <v>47.1</v>
      </c>
    </row>
    <row r="86" spans="1:5" hidden="1" x14ac:dyDescent="0.35">
      <c r="A86" t="s">
        <v>33</v>
      </c>
      <c r="B86">
        <v>2016</v>
      </c>
      <c r="C86">
        <v>25.61</v>
      </c>
      <c r="D86" t="s">
        <v>18</v>
      </c>
      <c r="E86">
        <v>51.43</v>
      </c>
    </row>
    <row r="87" spans="1:5" hidden="1" x14ac:dyDescent="0.35">
      <c r="A87" t="s">
        <v>33</v>
      </c>
      <c r="B87">
        <v>2017</v>
      </c>
      <c r="C87">
        <v>24.78</v>
      </c>
      <c r="D87" t="s">
        <v>18</v>
      </c>
      <c r="E87">
        <v>49.09</v>
      </c>
    </row>
    <row r="88" spans="1:5" hidden="1" x14ac:dyDescent="0.35">
      <c r="A88" t="s">
        <v>33</v>
      </c>
      <c r="B88">
        <v>2018</v>
      </c>
      <c r="C88">
        <v>28.82</v>
      </c>
      <c r="D88" t="s">
        <v>18</v>
      </c>
      <c r="E88">
        <v>48.81</v>
      </c>
    </row>
    <row r="89" spans="1:5" hidden="1" x14ac:dyDescent="0.35">
      <c r="A89" t="s">
        <v>33</v>
      </c>
      <c r="B89">
        <v>2019</v>
      </c>
      <c r="C89">
        <v>26.39</v>
      </c>
      <c r="D89" t="s">
        <v>18</v>
      </c>
      <c r="E89">
        <v>45.11</v>
      </c>
    </row>
    <row r="90" spans="1:5" hidden="1" x14ac:dyDescent="0.35">
      <c r="A90" t="s">
        <v>33</v>
      </c>
      <c r="B90">
        <v>2020</v>
      </c>
      <c r="C90">
        <v>25.93</v>
      </c>
      <c r="D90" t="s">
        <v>18</v>
      </c>
      <c r="E90">
        <v>42.86</v>
      </c>
    </row>
    <row r="91" spans="1:5" hidden="1" x14ac:dyDescent="0.35">
      <c r="A91" t="s">
        <v>33</v>
      </c>
      <c r="B91">
        <v>2021</v>
      </c>
      <c r="C91">
        <v>28.14</v>
      </c>
      <c r="D91" t="s">
        <v>18</v>
      </c>
      <c r="E91">
        <v>42.36</v>
      </c>
    </row>
    <row r="92" spans="1:5" hidden="1" x14ac:dyDescent="0.35">
      <c r="A92" t="s">
        <v>33</v>
      </c>
      <c r="B92">
        <v>2022</v>
      </c>
      <c r="C92">
        <v>26.62</v>
      </c>
      <c r="D92" t="s">
        <v>18</v>
      </c>
      <c r="E92">
        <v>40.64</v>
      </c>
    </row>
    <row r="93" spans="1:5" x14ac:dyDescent="0.35">
      <c r="A93" t="s">
        <v>33</v>
      </c>
      <c r="B93">
        <v>2023</v>
      </c>
      <c r="C93">
        <v>26.53</v>
      </c>
      <c r="D93" t="s">
        <v>18</v>
      </c>
      <c r="E93">
        <v>38.04</v>
      </c>
    </row>
    <row r="94" spans="1:5" hidden="1" x14ac:dyDescent="0.35">
      <c r="A94" t="s">
        <v>35</v>
      </c>
      <c r="B94">
        <v>2015</v>
      </c>
      <c r="C94">
        <v>7.68</v>
      </c>
      <c r="D94" t="s">
        <v>20</v>
      </c>
      <c r="E94">
        <v>3242.91</v>
      </c>
    </row>
    <row r="95" spans="1:5" hidden="1" x14ac:dyDescent="0.35">
      <c r="A95" t="s">
        <v>35</v>
      </c>
      <c r="B95">
        <v>2016</v>
      </c>
      <c r="C95">
        <v>4.87</v>
      </c>
      <c r="D95" t="s">
        <v>20</v>
      </c>
      <c r="E95">
        <v>3427.84</v>
      </c>
    </row>
    <row r="96" spans="1:5" hidden="1" x14ac:dyDescent="0.35">
      <c r="A96" t="s">
        <v>35</v>
      </c>
      <c r="B96">
        <v>2017</v>
      </c>
      <c r="C96">
        <v>5.64</v>
      </c>
      <c r="D96" t="s">
        <v>20</v>
      </c>
      <c r="E96">
        <v>3447.15</v>
      </c>
    </row>
    <row r="97" spans="1:5" hidden="1" x14ac:dyDescent="0.35">
      <c r="A97" t="s">
        <v>35</v>
      </c>
      <c r="B97">
        <v>2018</v>
      </c>
      <c r="C97">
        <v>16.37</v>
      </c>
      <c r="D97" t="s">
        <v>20</v>
      </c>
      <c r="E97">
        <v>3362.93</v>
      </c>
    </row>
    <row r="98" spans="1:5" hidden="1" x14ac:dyDescent="0.35">
      <c r="A98" t="s">
        <v>35</v>
      </c>
      <c r="B98">
        <v>2019</v>
      </c>
      <c r="C98">
        <v>24.51</v>
      </c>
      <c r="D98" t="s">
        <v>20</v>
      </c>
      <c r="E98">
        <v>3220.53</v>
      </c>
    </row>
    <row r="99" spans="1:5" hidden="1" x14ac:dyDescent="0.35">
      <c r="A99" t="s">
        <v>35</v>
      </c>
      <c r="B99">
        <v>2020</v>
      </c>
      <c r="C99">
        <v>18.54</v>
      </c>
      <c r="D99" t="s">
        <v>20</v>
      </c>
      <c r="E99">
        <v>2955.73</v>
      </c>
    </row>
    <row r="100" spans="1:5" hidden="1" x14ac:dyDescent="0.35">
      <c r="A100" t="s">
        <v>35</v>
      </c>
      <c r="B100">
        <v>2021</v>
      </c>
      <c r="C100">
        <v>49.78</v>
      </c>
      <c r="D100" t="s">
        <v>20</v>
      </c>
      <c r="E100">
        <v>3317.97</v>
      </c>
    </row>
    <row r="101" spans="1:5" hidden="1" x14ac:dyDescent="0.35">
      <c r="A101" t="s">
        <v>35</v>
      </c>
      <c r="B101">
        <v>2022</v>
      </c>
      <c r="C101">
        <v>86.53</v>
      </c>
      <c r="D101" t="s">
        <v>20</v>
      </c>
      <c r="E101">
        <v>3247.8</v>
      </c>
    </row>
    <row r="102" spans="1:5" hidden="1" x14ac:dyDescent="0.35">
      <c r="A102" t="s">
        <v>35</v>
      </c>
      <c r="B102">
        <v>2023</v>
      </c>
      <c r="C102">
        <v>96.3</v>
      </c>
      <c r="D102" t="s">
        <v>20</v>
      </c>
      <c r="E102">
        <v>3027.98</v>
      </c>
    </row>
    <row r="103" spans="1:5" hidden="1" x14ac:dyDescent="0.35">
      <c r="A103" t="s">
        <v>36</v>
      </c>
      <c r="B103">
        <v>2015</v>
      </c>
      <c r="C103">
        <v>2.15</v>
      </c>
      <c r="D103" t="s">
        <v>18</v>
      </c>
      <c r="E103">
        <v>14.27</v>
      </c>
    </row>
    <row r="104" spans="1:5" hidden="1" x14ac:dyDescent="0.35">
      <c r="A104" t="s">
        <v>36</v>
      </c>
      <c r="B104">
        <v>2016</v>
      </c>
      <c r="C104">
        <v>2.23</v>
      </c>
      <c r="D104" t="s">
        <v>18</v>
      </c>
      <c r="E104">
        <v>27.88</v>
      </c>
    </row>
    <row r="105" spans="1:5" hidden="1" x14ac:dyDescent="0.35">
      <c r="A105" t="s">
        <v>36</v>
      </c>
      <c r="B105">
        <v>2017</v>
      </c>
      <c r="C105">
        <v>2.14</v>
      </c>
      <c r="D105" t="s">
        <v>18</v>
      </c>
      <c r="E105">
        <v>28.81</v>
      </c>
    </row>
    <row r="106" spans="1:5" hidden="1" x14ac:dyDescent="0.35">
      <c r="A106" t="s">
        <v>36</v>
      </c>
      <c r="B106">
        <v>2018</v>
      </c>
      <c r="C106">
        <v>2.48</v>
      </c>
      <c r="D106" t="s">
        <v>18</v>
      </c>
      <c r="E106">
        <v>27.8</v>
      </c>
    </row>
    <row r="107" spans="1:5" hidden="1" x14ac:dyDescent="0.35">
      <c r="A107" t="s">
        <v>36</v>
      </c>
      <c r="B107">
        <v>2019</v>
      </c>
      <c r="C107">
        <v>2.25</v>
      </c>
      <c r="D107" t="s">
        <v>18</v>
      </c>
      <c r="E107">
        <v>22.16</v>
      </c>
    </row>
    <row r="108" spans="1:5" hidden="1" x14ac:dyDescent="0.35">
      <c r="A108" t="s">
        <v>36</v>
      </c>
      <c r="B108">
        <v>2020</v>
      </c>
      <c r="C108">
        <v>2.19</v>
      </c>
      <c r="D108" t="s">
        <v>18</v>
      </c>
      <c r="E108">
        <v>19.100000000000001</v>
      </c>
    </row>
    <row r="109" spans="1:5" hidden="1" x14ac:dyDescent="0.35">
      <c r="A109" t="s">
        <v>36</v>
      </c>
      <c r="B109">
        <v>2021</v>
      </c>
      <c r="C109">
        <v>2.35</v>
      </c>
      <c r="D109" t="s">
        <v>18</v>
      </c>
      <c r="E109">
        <v>20.72</v>
      </c>
    </row>
    <row r="110" spans="1:5" hidden="1" x14ac:dyDescent="0.35">
      <c r="A110" t="s">
        <v>36</v>
      </c>
      <c r="B110">
        <v>2022</v>
      </c>
      <c r="C110">
        <v>2.21</v>
      </c>
      <c r="D110" t="s">
        <v>18</v>
      </c>
      <c r="E110">
        <v>22.3</v>
      </c>
    </row>
    <row r="111" spans="1:5" x14ac:dyDescent="0.35">
      <c r="A111" t="s">
        <v>36</v>
      </c>
      <c r="B111">
        <v>2023</v>
      </c>
      <c r="C111">
        <v>2.17</v>
      </c>
      <c r="D111" t="s">
        <v>18</v>
      </c>
      <c r="E111">
        <v>18.86</v>
      </c>
    </row>
    <row r="112" spans="1:5" hidden="1" x14ac:dyDescent="0.35">
      <c r="A112" t="s">
        <v>37</v>
      </c>
      <c r="B112">
        <v>2015</v>
      </c>
      <c r="C112">
        <v>47.42</v>
      </c>
      <c r="D112" t="s">
        <v>18</v>
      </c>
      <c r="E112">
        <v>5.92</v>
      </c>
    </row>
    <row r="113" spans="1:5" hidden="1" x14ac:dyDescent="0.35">
      <c r="A113" t="s">
        <v>37</v>
      </c>
      <c r="B113">
        <v>2016</v>
      </c>
      <c r="C113">
        <v>64.02</v>
      </c>
      <c r="D113" t="s">
        <v>18</v>
      </c>
      <c r="E113">
        <v>51.74</v>
      </c>
    </row>
    <row r="114" spans="1:5" hidden="1" x14ac:dyDescent="0.35">
      <c r="A114" t="s">
        <v>37</v>
      </c>
      <c r="B114">
        <v>2017</v>
      </c>
      <c r="C114">
        <v>64.14</v>
      </c>
      <c r="D114" t="s">
        <v>18</v>
      </c>
      <c r="E114">
        <v>49.15</v>
      </c>
    </row>
    <row r="115" spans="1:5" hidden="1" x14ac:dyDescent="0.35">
      <c r="A115" t="s">
        <v>37</v>
      </c>
      <c r="B115">
        <v>2018</v>
      </c>
      <c r="C115">
        <v>78.11</v>
      </c>
      <c r="D115" t="s">
        <v>18</v>
      </c>
      <c r="E115">
        <v>50.47</v>
      </c>
    </row>
    <row r="116" spans="1:5" hidden="1" x14ac:dyDescent="0.35">
      <c r="A116" t="s">
        <v>37</v>
      </c>
      <c r="B116">
        <v>2019</v>
      </c>
      <c r="C116">
        <v>73.040000000000006</v>
      </c>
      <c r="D116" t="s">
        <v>18</v>
      </c>
      <c r="E116">
        <v>47.57</v>
      </c>
    </row>
    <row r="117" spans="1:5" hidden="1" x14ac:dyDescent="0.35">
      <c r="A117" t="s">
        <v>37</v>
      </c>
      <c r="B117">
        <v>2020</v>
      </c>
      <c r="C117">
        <v>71.08</v>
      </c>
      <c r="D117" t="s">
        <v>18</v>
      </c>
      <c r="E117">
        <v>42.74</v>
      </c>
    </row>
    <row r="118" spans="1:5" hidden="1" x14ac:dyDescent="0.35">
      <c r="A118" t="s">
        <v>37</v>
      </c>
      <c r="B118">
        <v>2021</v>
      </c>
      <c r="C118">
        <v>76.34</v>
      </c>
      <c r="D118" t="s">
        <v>18</v>
      </c>
      <c r="E118">
        <v>60.99</v>
      </c>
    </row>
    <row r="119" spans="1:5" hidden="1" x14ac:dyDescent="0.35">
      <c r="A119" t="s">
        <v>37</v>
      </c>
      <c r="B119">
        <v>2022</v>
      </c>
      <c r="C119">
        <v>71.84</v>
      </c>
      <c r="D119" t="s">
        <v>18</v>
      </c>
      <c r="E119">
        <v>58.81</v>
      </c>
    </row>
    <row r="120" spans="1:5" x14ac:dyDescent="0.35">
      <c r="A120" t="s">
        <v>37</v>
      </c>
      <c r="B120">
        <v>2023</v>
      </c>
      <c r="C120">
        <v>70.69</v>
      </c>
      <c r="D120" t="s">
        <v>18</v>
      </c>
      <c r="E120">
        <v>54.56</v>
      </c>
    </row>
    <row r="121" spans="1:5" hidden="1" x14ac:dyDescent="0.35">
      <c r="A121" t="s">
        <v>38</v>
      </c>
      <c r="B121">
        <v>2015</v>
      </c>
      <c r="C121">
        <v>15.59</v>
      </c>
      <c r="D121" t="s">
        <v>18</v>
      </c>
      <c r="E121">
        <v>374.23</v>
      </c>
    </row>
    <row r="122" spans="1:5" hidden="1" x14ac:dyDescent="0.35">
      <c r="A122" t="s">
        <v>38</v>
      </c>
      <c r="B122">
        <v>2016</v>
      </c>
      <c r="C122">
        <v>24.56</v>
      </c>
      <c r="D122" t="s">
        <v>18</v>
      </c>
      <c r="E122">
        <v>409.88</v>
      </c>
    </row>
    <row r="123" spans="1:5" hidden="1" x14ac:dyDescent="0.35">
      <c r="A123" t="s">
        <v>38</v>
      </c>
      <c r="B123">
        <v>2017</v>
      </c>
      <c r="C123">
        <v>32.61</v>
      </c>
      <c r="D123" t="s">
        <v>18</v>
      </c>
      <c r="E123">
        <v>414.62</v>
      </c>
    </row>
    <row r="124" spans="1:5" hidden="1" x14ac:dyDescent="0.35">
      <c r="A124" t="s">
        <v>38</v>
      </c>
      <c r="B124">
        <v>2018</v>
      </c>
      <c r="C124">
        <v>55.3</v>
      </c>
      <c r="D124" t="s">
        <v>18</v>
      </c>
      <c r="E124">
        <v>400</v>
      </c>
    </row>
    <row r="125" spans="1:5" hidden="1" x14ac:dyDescent="0.35">
      <c r="A125" t="s">
        <v>38</v>
      </c>
      <c r="B125">
        <v>2019</v>
      </c>
      <c r="C125">
        <v>50.11</v>
      </c>
      <c r="D125" t="s">
        <v>18</v>
      </c>
      <c r="E125">
        <v>390.49</v>
      </c>
    </row>
    <row r="126" spans="1:5" hidden="1" x14ac:dyDescent="0.35">
      <c r="A126" t="s">
        <v>38</v>
      </c>
      <c r="B126">
        <v>2020</v>
      </c>
      <c r="C126">
        <v>48.77</v>
      </c>
      <c r="D126" t="s">
        <v>18</v>
      </c>
      <c r="E126">
        <v>351.59</v>
      </c>
    </row>
    <row r="127" spans="1:5" hidden="1" x14ac:dyDescent="0.35">
      <c r="A127" t="s">
        <v>38</v>
      </c>
      <c r="B127">
        <v>2021</v>
      </c>
      <c r="C127">
        <v>52.39</v>
      </c>
      <c r="D127" t="s">
        <v>18</v>
      </c>
      <c r="E127">
        <v>383.4</v>
      </c>
    </row>
    <row r="128" spans="1:5" hidden="1" x14ac:dyDescent="0.35">
      <c r="A128" t="s">
        <v>38</v>
      </c>
      <c r="B128">
        <v>2022</v>
      </c>
      <c r="C128">
        <v>49.29</v>
      </c>
      <c r="D128" t="s">
        <v>18</v>
      </c>
      <c r="E128">
        <v>370.91</v>
      </c>
    </row>
    <row r="129" spans="1:5" x14ac:dyDescent="0.35">
      <c r="A129" t="s">
        <v>38</v>
      </c>
      <c r="B129">
        <v>2023</v>
      </c>
      <c r="C129">
        <v>48.5</v>
      </c>
      <c r="D129" t="s">
        <v>18</v>
      </c>
      <c r="E129">
        <v>347.38</v>
      </c>
    </row>
    <row r="130" spans="1:5" hidden="1" x14ac:dyDescent="0.35">
      <c r="A130" t="s">
        <v>39</v>
      </c>
      <c r="B130">
        <v>2017</v>
      </c>
      <c r="C130">
        <v>5.18</v>
      </c>
      <c r="D130" t="s">
        <v>20</v>
      </c>
      <c r="E130">
        <v>11189.72</v>
      </c>
    </row>
    <row r="131" spans="1:5" hidden="1" x14ac:dyDescent="0.35">
      <c r="A131" t="s">
        <v>39</v>
      </c>
      <c r="B131">
        <v>2018</v>
      </c>
      <c r="C131">
        <v>3.18</v>
      </c>
      <c r="D131" t="s">
        <v>20</v>
      </c>
      <c r="E131">
        <v>11662.12</v>
      </c>
    </row>
    <row r="132" spans="1:5" hidden="1" x14ac:dyDescent="0.35">
      <c r="A132" t="s">
        <v>39</v>
      </c>
      <c r="B132">
        <v>2019</v>
      </c>
      <c r="C132">
        <v>1.52</v>
      </c>
      <c r="D132" t="s">
        <v>20</v>
      </c>
      <c r="E132">
        <v>11915.69</v>
      </c>
    </row>
    <row r="133" spans="1:5" hidden="1" x14ac:dyDescent="0.35">
      <c r="A133" t="s">
        <v>39</v>
      </c>
      <c r="B133">
        <v>2020</v>
      </c>
      <c r="C133">
        <v>1.28</v>
      </c>
      <c r="D133" t="s">
        <v>20</v>
      </c>
      <c r="E133">
        <v>12084.55</v>
      </c>
    </row>
    <row r="134" spans="1:5" hidden="1" x14ac:dyDescent="0.35">
      <c r="A134" t="s">
        <v>39</v>
      </c>
      <c r="B134">
        <v>2021</v>
      </c>
      <c r="C134">
        <v>1.25</v>
      </c>
      <c r="D134" t="s">
        <v>20</v>
      </c>
      <c r="E134">
        <v>12665.78</v>
      </c>
    </row>
    <row r="135" spans="1:5" hidden="1" x14ac:dyDescent="0.35">
      <c r="A135" t="s">
        <v>39</v>
      </c>
      <c r="B135">
        <v>2022</v>
      </c>
      <c r="C135">
        <v>1.83</v>
      </c>
      <c r="D135" t="s">
        <v>20</v>
      </c>
      <c r="E135">
        <v>12651.27</v>
      </c>
    </row>
    <row r="136" spans="1:5" hidden="1" x14ac:dyDescent="0.35">
      <c r="A136" t="s">
        <v>39</v>
      </c>
      <c r="B136">
        <v>2023</v>
      </c>
      <c r="C136">
        <v>4.66</v>
      </c>
      <c r="D136" t="s">
        <v>20</v>
      </c>
      <c r="E136">
        <v>13152.05</v>
      </c>
    </row>
    <row r="137" spans="1:5" hidden="1" x14ac:dyDescent="0.35">
      <c r="A137" t="s">
        <v>40</v>
      </c>
      <c r="B137">
        <v>2021</v>
      </c>
      <c r="C137">
        <v>29.37</v>
      </c>
      <c r="D137" t="s">
        <v>20</v>
      </c>
      <c r="E137">
        <v>741.56</v>
      </c>
    </row>
    <row r="138" spans="1:5" hidden="1" x14ac:dyDescent="0.35">
      <c r="A138" t="s">
        <v>40</v>
      </c>
      <c r="B138">
        <v>2022</v>
      </c>
      <c r="C138">
        <v>33.159999999999997</v>
      </c>
      <c r="D138" t="s">
        <v>20</v>
      </c>
      <c r="E138">
        <v>731.26</v>
      </c>
    </row>
    <row r="139" spans="1:5" hidden="1" x14ac:dyDescent="0.35">
      <c r="A139" t="s">
        <v>40</v>
      </c>
      <c r="B139">
        <v>2023</v>
      </c>
      <c r="C139">
        <v>32.619999999999997</v>
      </c>
      <c r="D139" t="s">
        <v>20</v>
      </c>
      <c r="E139">
        <v>668.63</v>
      </c>
    </row>
    <row r="140" spans="1:5" hidden="1" x14ac:dyDescent="0.35">
      <c r="A140" t="s">
        <v>42</v>
      </c>
      <c r="B140">
        <v>2015</v>
      </c>
      <c r="C140">
        <v>5.48</v>
      </c>
      <c r="D140" t="s">
        <v>20</v>
      </c>
      <c r="E140">
        <v>11103.35</v>
      </c>
    </row>
    <row r="141" spans="1:5" hidden="1" x14ac:dyDescent="0.35">
      <c r="A141" t="s">
        <v>42</v>
      </c>
      <c r="B141">
        <v>2016</v>
      </c>
      <c r="C141">
        <v>1.32</v>
      </c>
      <c r="D141" t="s">
        <v>20</v>
      </c>
      <c r="E141">
        <v>10955.02</v>
      </c>
    </row>
    <row r="142" spans="1:5" hidden="1" x14ac:dyDescent="0.35">
      <c r="A142" t="s">
        <v>42</v>
      </c>
      <c r="B142">
        <v>2017</v>
      </c>
      <c r="C142">
        <v>1.88</v>
      </c>
      <c r="D142" t="s">
        <v>20</v>
      </c>
      <c r="E142">
        <v>11189.72</v>
      </c>
    </row>
    <row r="143" spans="1:5" hidden="1" x14ac:dyDescent="0.35">
      <c r="A143" t="s">
        <v>42</v>
      </c>
      <c r="B143">
        <v>2018</v>
      </c>
      <c r="C143">
        <v>2.3199999999999998</v>
      </c>
      <c r="D143" t="s">
        <v>20</v>
      </c>
      <c r="E143">
        <v>11662.12</v>
      </c>
    </row>
    <row r="144" spans="1:5" hidden="1" x14ac:dyDescent="0.35">
      <c r="A144" t="s">
        <v>42</v>
      </c>
      <c r="B144">
        <v>2019</v>
      </c>
      <c r="C144">
        <v>2.92</v>
      </c>
      <c r="D144" t="s">
        <v>20</v>
      </c>
      <c r="E144">
        <v>11915.69</v>
      </c>
    </row>
    <row r="145" spans="1:5" hidden="1" x14ac:dyDescent="0.35">
      <c r="A145" t="s">
        <v>42</v>
      </c>
      <c r="B145">
        <v>2020</v>
      </c>
      <c r="C145">
        <v>4.13</v>
      </c>
      <c r="D145" t="s">
        <v>20</v>
      </c>
      <c r="E145">
        <v>12084.55</v>
      </c>
    </row>
    <row r="146" spans="1:5" hidden="1" x14ac:dyDescent="0.35">
      <c r="A146" t="s">
        <v>42</v>
      </c>
      <c r="B146">
        <v>2021</v>
      </c>
      <c r="C146">
        <v>5.72</v>
      </c>
      <c r="D146" t="s">
        <v>20</v>
      </c>
      <c r="E146">
        <v>12665.78</v>
      </c>
    </row>
    <row r="147" spans="1:5" hidden="1" x14ac:dyDescent="0.35">
      <c r="A147" t="s">
        <v>42</v>
      </c>
      <c r="B147">
        <v>2022</v>
      </c>
      <c r="C147">
        <v>12.51</v>
      </c>
      <c r="D147" t="s">
        <v>20</v>
      </c>
      <c r="E147">
        <v>12651.27</v>
      </c>
    </row>
    <row r="148" spans="1:5" hidden="1" x14ac:dyDescent="0.35">
      <c r="A148" t="s">
        <v>42</v>
      </c>
      <c r="B148">
        <v>2023</v>
      </c>
      <c r="C148">
        <v>12.34</v>
      </c>
      <c r="D148" t="s">
        <v>20</v>
      </c>
      <c r="E148">
        <v>13152.05</v>
      </c>
    </row>
    <row r="149" spans="1:5" hidden="1" x14ac:dyDescent="0.35">
      <c r="A149" t="s">
        <v>43</v>
      </c>
      <c r="B149">
        <v>2015</v>
      </c>
      <c r="C149">
        <v>4.18</v>
      </c>
      <c r="D149" t="s">
        <v>20</v>
      </c>
      <c r="E149">
        <v>11103.35</v>
      </c>
    </row>
    <row r="150" spans="1:5" hidden="1" x14ac:dyDescent="0.35">
      <c r="A150" t="s">
        <v>43</v>
      </c>
      <c r="B150">
        <v>2016</v>
      </c>
      <c r="C150">
        <v>2.11</v>
      </c>
      <c r="D150" t="s">
        <v>20</v>
      </c>
      <c r="E150">
        <v>10955.02</v>
      </c>
    </row>
    <row r="151" spans="1:5" hidden="1" x14ac:dyDescent="0.35">
      <c r="A151" t="s">
        <v>43</v>
      </c>
      <c r="B151">
        <v>2017</v>
      </c>
      <c r="C151">
        <v>1.78</v>
      </c>
      <c r="D151" t="s">
        <v>20</v>
      </c>
      <c r="E151">
        <v>11189.72</v>
      </c>
    </row>
    <row r="152" spans="1:5" hidden="1" x14ac:dyDescent="0.35">
      <c r="A152" t="s">
        <v>43</v>
      </c>
      <c r="B152">
        <v>2018</v>
      </c>
      <c r="C152">
        <v>2.3199999999999998</v>
      </c>
      <c r="D152" t="s">
        <v>20</v>
      </c>
      <c r="E152">
        <v>11662.12</v>
      </c>
    </row>
    <row r="153" spans="1:5" hidden="1" x14ac:dyDescent="0.35">
      <c r="A153" t="s">
        <v>43</v>
      </c>
      <c r="B153">
        <v>2019</v>
      </c>
      <c r="C153">
        <v>4.13</v>
      </c>
      <c r="D153" t="s">
        <v>20</v>
      </c>
      <c r="E153">
        <v>11915.69</v>
      </c>
    </row>
    <row r="154" spans="1:5" hidden="1" x14ac:dyDescent="0.35">
      <c r="A154" t="s">
        <v>43</v>
      </c>
      <c r="B154">
        <v>2020</v>
      </c>
      <c r="C154">
        <v>3.57</v>
      </c>
      <c r="D154" t="s">
        <v>20</v>
      </c>
      <c r="E154">
        <v>12084.55</v>
      </c>
    </row>
    <row r="155" spans="1:5" hidden="1" x14ac:dyDescent="0.35">
      <c r="A155" t="s">
        <v>43</v>
      </c>
      <c r="B155">
        <v>2021</v>
      </c>
      <c r="C155">
        <v>4.41</v>
      </c>
      <c r="D155" t="s">
        <v>20</v>
      </c>
      <c r="E155">
        <v>12665.78</v>
      </c>
    </row>
    <row r="156" spans="1:5" hidden="1" x14ac:dyDescent="0.35">
      <c r="A156" t="s">
        <v>43</v>
      </c>
      <c r="B156">
        <v>2022</v>
      </c>
      <c r="C156">
        <v>7.24</v>
      </c>
      <c r="D156" t="s">
        <v>20</v>
      </c>
      <c r="E156">
        <v>12651.27</v>
      </c>
    </row>
    <row r="157" spans="1:5" hidden="1" x14ac:dyDescent="0.35">
      <c r="A157" t="s">
        <v>43</v>
      </c>
      <c r="B157">
        <v>2023</v>
      </c>
      <c r="C157">
        <v>6.96</v>
      </c>
      <c r="D157" t="s">
        <v>20</v>
      </c>
      <c r="E157">
        <v>13152.05</v>
      </c>
    </row>
    <row r="158" spans="1:5" hidden="1" x14ac:dyDescent="0.35">
      <c r="A158" t="s">
        <v>45</v>
      </c>
      <c r="B158">
        <v>2015</v>
      </c>
      <c r="C158">
        <v>16.600000000000001</v>
      </c>
      <c r="D158" t="s">
        <v>18</v>
      </c>
      <c r="E158">
        <v>3.86</v>
      </c>
    </row>
    <row r="159" spans="1:5" hidden="1" x14ac:dyDescent="0.35">
      <c r="A159" t="s">
        <v>45</v>
      </c>
      <c r="B159">
        <v>2016</v>
      </c>
      <c r="C159">
        <v>19</v>
      </c>
      <c r="D159" t="s">
        <v>18</v>
      </c>
      <c r="E159">
        <v>3.45</v>
      </c>
    </row>
    <row r="160" spans="1:5" hidden="1" x14ac:dyDescent="0.35">
      <c r="A160" t="s">
        <v>45</v>
      </c>
      <c r="B160">
        <v>2017</v>
      </c>
      <c r="C160">
        <v>21.64</v>
      </c>
      <c r="D160" t="s">
        <v>18</v>
      </c>
      <c r="E160">
        <v>3.46</v>
      </c>
    </row>
    <row r="161" spans="1:5" hidden="1" x14ac:dyDescent="0.35">
      <c r="A161" t="s">
        <v>45</v>
      </c>
      <c r="B161">
        <v>2018</v>
      </c>
      <c r="C161">
        <v>37.479999999999997</v>
      </c>
      <c r="D161" t="s">
        <v>18</v>
      </c>
      <c r="E161">
        <v>3.51</v>
      </c>
    </row>
    <row r="162" spans="1:5" hidden="1" x14ac:dyDescent="0.35">
      <c r="A162" t="s">
        <v>45</v>
      </c>
      <c r="B162">
        <v>2019</v>
      </c>
      <c r="C162">
        <v>36.24</v>
      </c>
      <c r="D162" t="s">
        <v>18</v>
      </c>
      <c r="E162">
        <v>3.43</v>
      </c>
    </row>
    <row r="163" spans="1:5" hidden="1" x14ac:dyDescent="0.35">
      <c r="A163" t="s">
        <v>45</v>
      </c>
      <c r="B163">
        <v>2020</v>
      </c>
      <c r="C163">
        <v>21.15</v>
      </c>
      <c r="D163" t="s">
        <v>18</v>
      </c>
      <c r="E163">
        <v>3.25</v>
      </c>
    </row>
    <row r="164" spans="1:5" hidden="1" x14ac:dyDescent="0.35">
      <c r="A164" t="s">
        <v>45</v>
      </c>
      <c r="B164">
        <v>2021</v>
      </c>
      <c r="C164">
        <v>23.7</v>
      </c>
      <c r="D164" t="s">
        <v>18</v>
      </c>
      <c r="E164">
        <v>3.35</v>
      </c>
    </row>
    <row r="165" spans="1:5" hidden="1" x14ac:dyDescent="0.35">
      <c r="A165" t="s">
        <v>45</v>
      </c>
      <c r="B165">
        <v>2022</v>
      </c>
      <c r="C165">
        <v>24.23</v>
      </c>
      <c r="D165" t="s">
        <v>18</v>
      </c>
      <c r="E165">
        <v>3.38</v>
      </c>
    </row>
    <row r="166" spans="1:5" x14ac:dyDescent="0.35">
      <c r="A166" t="s">
        <v>45</v>
      </c>
      <c r="B166">
        <v>2023</v>
      </c>
      <c r="C166">
        <v>24.15</v>
      </c>
      <c r="D166" t="s">
        <v>18</v>
      </c>
      <c r="E166">
        <v>3.35</v>
      </c>
    </row>
    <row r="167" spans="1:5" hidden="1" x14ac:dyDescent="0.35">
      <c r="A167" t="s">
        <v>47</v>
      </c>
      <c r="B167">
        <v>2015</v>
      </c>
      <c r="C167">
        <v>21.51</v>
      </c>
      <c r="D167" t="s">
        <v>18</v>
      </c>
      <c r="E167">
        <v>70.44</v>
      </c>
    </row>
    <row r="168" spans="1:5" hidden="1" x14ac:dyDescent="0.35">
      <c r="A168" t="s">
        <v>47</v>
      </c>
      <c r="B168">
        <v>2016</v>
      </c>
      <c r="C168">
        <v>22.32</v>
      </c>
      <c r="D168" t="s">
        <v>18</v>
      </c>
      <c r="E168">
        <v>74.42</v>
      </c>
    </row>
    <row r="169" spans="1:5" hidden="1" x14ac:dyDescent="0.35">
      <c r="A169" t="s">
        <v>47</v>
      </c>
      <c r="B169">
        <v>2017</v>
      </c>
      <c r="C169">
        <v>21.38</v>
      </c>
      <c r="D169" t="s">
        <v>18</v>
      </c>
      <c r="E169">
        <v>73.540000000000006</v>
      </c>
    </row>
    <row r="170" spans="1:5" hidden="1" x14ac:dyDescent="0.35">
      <c r="A170" t="s">
        <v>47</v>
      </c>
      <c r="B170">
        <v>2018</v>
      </c>
      <c r="C170">
        <v>24.8</v>
      </c>
      <c r="D170" t="s">
        <v>18</v>
      </c>
      <c r="E170">
        <v>70.739999999999995</v>
      </c>
    </row>
    <row r="171" spans="1:5" hidden="1" x14ac:dyDescent="0.35">
      <c r="A171" t="s">
        <v>47</v>
      </c>
      <c r="B171">
        <v>2019</v>
      </c>
      <c r="C171">
        <v>22.47</v>
      </c>
      <c r="D171" t="s">
        <v>18</v>
      </c>
      <c r="E171">
        <v>68.77</v>
      </c>
    </row>
    <row r="172" spans="1:5" hidden="1" x14ac:dyDescent="0.35">
      <c r="A172" t="s">
        <v>47</v>
      </c>
      <c r="B172">
        <v>2020</v>
      </c>
      <c r="C172">
        <v>28.43</v>
      </c>
      <c r="D172" t="s">
        <v>18</v>
      </c>
      <c r="E172">
        <v>66.59</v>
      </c>
    </row>
    <row r="173" spans="1:5" hidden="1" x14ac:dyDescent="0.35">
      <c r="A173" t="s">
        <v>47</v>
      </c>
      <c r="B173">
        <v>2021</v>
      </c>
      <c r="C173">
        <v>39.35</v>
      </c>
      <c r="D173" t="s">
        <v>18</v>
      </c>
      <c r="E173">
        <v>73.319999999999993</v>
      </c>
    </row>
    <row r="174" spans="1:5" hidden="1" x14ac:dyDescent="0.35">
      <c r="A174" t="s">
        <v>47</v>
      </c>
      <c r="B174">
        <v>2022</v>
      </c>
      <c r="C174">
        <v>45.31</v>
      </c>
      <c r="D174" t="s">
        <v>18</v>
      </c>
      <c r="E174">
        <v>71.92</v>
      </c>
    </row>
    <row r="175" spans="1:5" x14ac:dyDescent="0.35">
      <c r="A175" t="s">
        <v>47</v>
      </c>
      <c r="B175">
        <v>2023</v>
      </c>
      <c r="C175">
        <v>52.74</v>
      </c>
      <c r="D175" t="s">
        <v>18</v>
      </c>
      <c r="E175">
        <v>68.47</v>
      </c>
    </row>
    <row r="176" spans="1:5" hidden="1" x14ac:dyDescent="0.35">
      <c r="A176" t="s">
        <v>48</v>
      </c>
      <c r="B176">
        <v>2015</v>
      </c>
      <c r="C176">
        <v>1.59</v>
      </c>
      <c r="D176" t="s">
        <v>18</v>
      </c>
      <c r="E176">
        <v>1192.92</v>
      </c>
    </row>
    <row r="177" spans="1:5" hidden="1" x14ac:dyDescent="0.35">
      <c r="A177" t="s">
        <v>48</v>
      </c>
      <c r="B177">
        <v>2016</v>
      </c>
      <c r="C177">
        <v>2.82</v>
      </c>
      <c r="D177" t="s">
        <v>18</v>
      </c>
      <c r="E177">
        <v>1194.45</v>
      </c>
    </row>
    <row r="178" spans="1:5" hidden="1" x14ac:dyDescent="0.35">
      <c r="A178" t="s">
        <v>48</v>
      </c>
      <c r="B178">
        <v>2017</v>
      </c>
      <c r="C178">
        <v>2.58</v>
      </c>
      <c r="D178" t="s">
        <v>18</v>
      </c>
      <c r="E178">
        <v>1182.19</v>
      </c>
    </row>
    <row r="179" spans="1:5" hidden="1" x14ac:dyDescent="0.35">
      <c r="A179" t="s">
        <v>48</v>
      </c>
      <c r="B179">
        <v>2018</v>
      </c>
      <c r="C179">
        <v>2.74</v>
      </c>
      <c r="D179" t="s">
        <v>18</v>
      </c>
      <c r="E179">
        <v>1143.5999999999999</v>
      </c>
    </row>
    <row r="180" spans="1:5" hidden="1" x14ac:dyDescent="0.35">
      <c r="A180" t="s">
        <v>48</v>
      </c>
      <c r="B180">
        <v>2019</v>
      </c>
      <c r="C180">
        <v>2.6</v>
      </c>
      <c r="D180" t="s">
        <v>18</v>
      </c>
      <c r="E180">
        <v>1108.04</v>
      </c>
    </row>
    <row r="181" spans="1:5" hidden="1" x14ac:dyDescent="0.35">
      <c r="A181" t="s">
        <v>48</v>
      </c>
      <c r="B181">
        <v>2020</v>
      </c>
      <c r="C181">
        <v>2.69</v>
      </c>
      <c r="D181" t="s">
        <v>18</v>
      </c>
      <c r="E181">
        <v>1051.6400000000001</v>
      </c>
    </row>
    <row r="182" spans="1:5" hidden="1" x14ac:dyDescent="0.35">
      <c r="A182" t="s">
        <v>48</v>
      </c>
      <c r="B182">
        <v>2021</v>
      </c>
      <c r="C182">
        <v>2.61</v>
      </c>
      <c r="D182" t="s">
        <v>18</v>
      </c>
      <c r="E182">
        <v>1103.6300000000001</v>
      </c>
    </row>
    <row r="183" spans="1:5" hidden="1" x14ac:dyDescent="0.35">
      <c r="A183" t="s">
        <v>48</v>
      </c>
      <c r="B183">
        <v>2022</v>
      </c>
      <c r="C183">
        <v>2.36</v>
      </c>
      <c r="D183" t="s">
        <v>18</v>
      </c>
      <c r="E183">
        <v>1078.93</v>
      </c>
    </row>
    <row r="184" spans="1:5" x14ac:dyDescent="0.35">
      <c r="A184" t="s">
        <v>48</v>
      </c>
      <c r="B184">
        <v>2023</v>
      </c>
      <c r="C184">
        <v>2.17</v>
      </c>
      <c r="D184" t="s">
        <v>18</v>
      </c>
      <c r="E184">
        <v>1034.23</v>
      </c>
    </row>
    <row r="185" spans="1:5" hidden="1" x14ac:dyDescent="0.35">
      <c r="A185" t="s">
        <v>49</v>
      </c>
      <c r="B185">
        <v>2015</v>
      </c>
      <c r="C185">
        <v>2.04</v>
      </c>
      <c r="D185" t="s">
        <v>20</v>
      </c>
      <c r="E185">
        <v>262.7</v>
      </c>
    </row>
    <row r="186" spans="1:5" hidden="1" x14ac:dyDescent="0.35">
      <c r="A186" t="s">
        <v>49</v>
      </c>
      <c r="B186">
        <v>2020</v>
      </c>
      <c r="C186">
        <v>1.1100000000000001</v>
      </c>
      <c r="D186" t="s">
        <v>20</v>
      </c>
      <c r="E186">
        <v>291.93</v>
      </c>
    </row>
    <row r="187" spans="1:5" hidden="1" x14ac:dyDescent="0.35">
      <c r="A187" t="s">
        <v>49</v>
      </c>
      <c r="B187">
        <v>2021</v>
      </c>
      <c r="C187">
        <v>1.18</v>
      </c>
      <c r="D187" t="s">
        <v>20</v>
      </c>
      <c r="E187">
        <v>320.35000000000002</v>
      </c>
    </row>
    <row r="188" spans="1:5" hidden="1" x14ac:dyDescent="0.35">
      <c r="A188" t="s">
        <v>49</v>
      </c>
      <c r="B188">
        <v>2022</v>
      </c>
      <c r="C188">
        <v>1.08</v>
      </c>
      <c r="D188" t="s">
        <v>20</v>
      </c>
      <c r="E188">
        <v>319.33999999999997</v>
      </c>
    </row>
    <row r="189" spans="1:5" hidden="1" x14ac:dyDescent="0.35">
      <c r="A189" t="s">
        <v>49</v>
      </c>
      <c r="B189">
        <v>2023</v>
      </c>
      <c r="C189">
        <v>1.1200000000000001</v>
      </c>
      <c r="D189" t="s">
        <v>20</v>
      </c>
      <c r="E189">
        <v>338.16</v>
      </c>
    </row>
    <row r="190" spans="1:5" hidden="1" x14ac:dyDescent="0.35">
      <c r="A190" t="s">
        <v>50</v>
      </c>
      <c r="B190">
        <v>2015</v>
      </c>
      <c r="C190">
        <v>9.1</v>
      </c>
      <c r="D190" t="s">
        <v>20</v>
      </c>
      <c r="E190">
        <v>647.42999999999995</v>
      </c>
    </row>
    <row r="191" spans="1:5" hidden="1" x14ac:dyDescent="0.35">
      <c r="A191" t="s">
        <v>50</v>
      </c>
      <c r="B191">
        <v>2016</v>
      </c>
      <c r="C191">
        <v>15.14</v>
      </c>
      <c r="D191" t="s">
        <v>20</v>
      </c>
      <c r="E191">
        <v>656.92</v>
      </c>
    </row>
    <row r="192" spans="1:5" hidden="1" x14ac:dyDescent="0.35">
      <c r="A192" t="s">
        <v>50</v>
      </c>
      <c r="B192">
        <v>2017</v>
      </c>
      <c r="C192">
        <v>18.23</v>
      </c>
      <c r="D192" t="s">
        <v>20</v>
      </c>
      <c r="E192">
        <v>683.3</v>
      </c>
    </row>
    <row r="193" spans="1:5" hidden="1" x14ac:dyDescent="0.35">
      <c r="A193" t="s">
        <v>50</v>
      </c>
      <c r="B193">
        <v>2018</v>
      </c>
      <c r="C193">
        <v>20.52</v>
      </c>
      <c r="D193" t="s">
        <v>20</v>
      </c>
      <c r="E193">
        <v>708.54</v>
      </c>
    </row>
    <row r="194" spans="1:5" hidden="1" x14ac:dyDescent="0.35">
      <c r="A194" t="s">
        <v>50</v>
      </c>
      <c r="B194">
        <v>2019</v>
      </c>
      <c r="C194">
        <v>23.46</v>
      </c>
      <c r="D194" t="s">
        <v>20</v>
      </c>
      <c r="E194">
        <v>684.33</v>
      </c>
    </row>
    <row r="195" spans="1:5" hidden="1" x14ac:dyDescent="0.35">
      <c r="A195" t="s">
        <v>50</v>
      </c>
      <c r="B195">
        <v>2020</v>
      </c>
      <c r="C195">
        <v>32.79</v>
      </c>
      <c r="D195" t="s">
        <v>20</v>
      </c>
      <c r="E195">
        <v>642.24</v>
      </c>
    </row>
    <row r="196" spans="1:5" hidden="1" x14ac:dyDescent="0.35">
      <c r="A196" t="s">
        <v>50</v>
      </c>
      <c r="B196">
        <v>2021</v>
      </c>
      <c r="C196">
        <v>15.89</v>
      </c>
      <c r="D196" t="s">
        <v>20</v>
      </c>
      <c r="E196">
        <v>672.77</v>
      </c>
    </row>
    <row r="197" spans="1:5" hidden="1" x14ac:dyDescent="0.35">
      <c r="A197" t="s">
        <v>50</v>
      </c>
      <c r="B197">
        <v>2022</v>
      </c>
      <c r="C197">
        <v>18.75</v>
      </c>
      <c r="D197" t="s">
        <v>20</v>
      </c>
      <c r="E197">
        <v>658.48</v>
      </c>
    </row>
    <row r="198" spans="1:5" hidden="1" x14ac:dyDescent="0.35">
      <c r="A198" t="s">
        <v>50</v>
      </c>
      <c r="B198">
        <v>2023</v>
      </c>
      <c r="C198">
        <v>11.24</v>
      </c>
      <c r="D198" t="s">
        <v>20</v>
      </c>
      <c r="E198">
        <v>642.02</v>
      </c>
    </row>
    <row r="199" spans="1:5" hidden="1" x14ac:dyDescent="0.35">
      <c r="A199" t="s">
        <v>51</v>
      </c>
      <c r="B199">
        <v>2015</v>
      </c>
      <c r="C199">
        <v>3.76</v>
      </c>
      <c r="D199" t="s">
        <v>18</v>
      </c>
      <c r="E199">
        <v>8.93</v>
      </c>
    </row>
    <row r="200" spans="1:5" hidden="1" x14ac:dyDescent="0.35">
      <c r="A200" t="s">
        <v>51</v>
      </c>
      <c r="B200">
        <v>2016</v>
      </c>
      <c r="C200">
        <v>3.9</v>
      </c>
      <c r="D200" t="s">
        <v>18</v>
      </c>
      <c r="E200">
        <v>9.64</v>
      </c>
    </row>
    <row r="201" spans="1:5" hidden="1" x14ac:dyDescent="0.35">
      <c r="A201" t="s">
        <v>51</v>
      </c>
      <c r="B201">
        <v>2017</v>
      </c>
      <c r="C201">
        <v>4.8099999999999996</v>
      </c>
      <c r="D201" t="s">
        <v>18</v>
      </c>
      <c r="E201">
        <v>9.6</v>
      </c>
    </row>
    <row r="202" spans="1:5" hidden="1" x14ac:dyDescent="0.35">
      <c r="A202" t="s">
        <v>51</v>
      </c>
      <c r="B202">
        <v>2018</v>
      </c>
      <c r="C202">
        <v>5.58</v>
      </c>
      <c r="D202" t="s">
        <v>18</v>
      </c>
      <c r="E202">
        <v>10.06</v>
      </c>
    </row>
    <row r="203" spans="1:5" hidden="1" x14ac:dyDescent="0.35">
      <c r="A203" t="s">
        <v>51</v>
      </c>
      <c r="B203">
        <v>2019</v>
      </c>
      <c r="C203">
        <v>5.0599999999999996</v>
      </c>
      <c r="D203" t="s">
        <v>18</v>
      </c>
      <c r="E203">
        <v>9.9</v>
      </c>
    </row>
    <row r="204" spans="1:5" hidden="1" x14ac:dyDescent="0.35">
      <c r="A204" t="s">
        <v>51</v>
      </c>
      <c r="B204">
        <v>2020</v>
      </c>
      <c r="C204">
        <v>9.84</v>
      </c>
      <c r="D204" t="s">
        <v>18</v>
      </c>
      <c r="E204">
        <v>9.31</v>
      </c>
    </row>
    <row r="205" spans="1:5" hidden="1" x14ac:dyDescent="0.35">
      <c r="A205" t="s">
        <v>51</v>
      </c>
      <c r="B205">
        <v>2021</v>
      </c>
      <c r="C205">
        <v>14.1</v>
      </c>
      <c r="D205" t="s">
        <v>18</v>
      </c>
      <c r="E205">
        <v>17.97</v>
      </c>
    </row>
    <row r="206" spans="1:5" hidden="1" x14ac:dyDescent="0.35">
      <c r="A206" t="s">
        <v>51</v>
      </c>
      <c r="B206">
        <v>2022</v>
      </c>
      <c r="C206">
        <v>16.579999999999998</v>
      </c>
      <c r="D206" t="s">
        <v>18</v>
      </c>
      <c r="E206">
        <v>17.309999999999999</v>
      </c>
    </row>
    <row r="207" spans="1:5" x14ac:dyDescent="0.35">
      <c r="A207" t="s">
        <v>51</v>
      </c>
      <c r="B207">
        <v>2023</v>
      </c>
      <c r="C207">
        <v>16.309999999999999</v>
      </c>
      <c r="D207" t="s">
        <v>18</v>
      </c>
      <c r="E207">
        <v>17.239999999999998</v>
      </c>
    </row>
    <row r="208" spans="1:5" hidden="1" x14ac:dyDescent="0.35">
      <c r="A208" t="s">
        <v>53</v>
      </c>
      <c r="B208">
        <v>2021</v>
      </c>
      <c r="C208">
        <v>40.119999999999997</v>
      </c>
      <c r="D208" t="s">
        <v>18</v>
      </c>
      <c r="E208">
        <v>9.25</v>
      </c>
    </row>
    <row r="209" spans="1:5" hidden="1" x14ac:dyDescent="0.35">
      <c r="A209" t="s">
        <v>53</v>
      </c>
      <c r="B209">
        <v>2022</v>
      </c>
      <c r="C209">
        <v>41.76</v>
      </c>
      <c r="D209" t="s">
        <v>18</v>
      </c>
      <c r="E209">
        <v>8.11</v>
      </c>
    </row>
    <row r="210" spans="1:5" x14ac:dyDescent="0.35">
      <c r="A210" t="s">
        <v>53</v>
      </c>
      <c r="B210">
        <v>2023</v>
      </c>
      <c r="C210">
        <v>46.56</v>
      </c>
      <c r="D210" t="s">
        <v>18</v>
      </c>
      <c r="E210">
        <v>7.78</v>
      </c>
    </row>
    <row r="211" spans="1:5" hidden="1" x14ac:dyDescent="0.35">
      <c r="A211" t="s">
        <v>54</v>
      </c>
      <c r="B211">
        <v>2020</v>
      </c>
      <c r="C211">
        <v>8.1999999999999993</v>
      </c>
      <c r="D211" t="s">
        <v>20</v>
      </c>
      <c r="E211">
        <v>5022.8900000000003</v>
      </c>
    </row>
    <row r="212" spans="1:5" hidden="1" x14ac:dyDescent="0.35">
      <c r="A212" t="s">
        <v>54</v>
      </c>
      <c r="B212">
        <v>2021</v>
      </c>
      <c r="C212">
        <v>6.5</v>
      </c>
      <c r="D212" t="s">
        <v>20</v>
      </c>
      <c r="E212">
        <v>5563.7</v>
      </c>
    </row>
    <row r="213" spans="1:5" hidden="1" x14ac:dyDescent="0.35">
      <c r="A213" t="s">
        <v>54</v>
      </c>
      <c r="B213">
        <v>2022</v>
      </c>
      <c r="C213">
        <v>0.5</v>
      </c>
      <c r="D213" t="s">
        <v>20</v>
      </c>
      <c r="E213">
        <v>5638.18</v>
      </c>
    </row>
    <row r="214" spans="1:5" hidden="1" x14ac:dyDescent="0.35">
      <c r="A214" t="s">
        <v>54</v>
      </c>
      <c r="B214">
        <v>2023</v>
      </c>
      <c r="C214">
        <v>12.05</v>
      </c>
      <c r="D214" t="s">
        <v>20</v>
      </c>
      <c r="E214">
        <v>5434.18</v>
      </c>
    </row>
    <row r="215" spans="1:5" hidden="1" x14ac:dyDescent="0.35">
      <c r="A215" t="s">
        <v>55</v>
      </c>
      <c r="B215">
        <v>2016</v>
      </c>
      <c r="C215">
        <v>2.16</v>
      </c>
      <c r="D215" t="s">
        <v>18</v>
      </c>
      <c r="E215">
        <v>722.32</v>
      </c>
    </row>
    <row r="216" spans="1:5" hidden="1" x14ac:dyDescent="0.35">
      <c r="A216" t="s">
        <v>55</v>
      </c>
      <c r="B216">
        <v>2017</v>
      </c>
      <c r="C216">
        <v>2.06</v>
      </c>
      <c r="D216" t="s">
        <v>18</v>
      </c>
      <c r="E216">
        <v>720.16</v>
      </c>
    </row>
    <row r="217" spans="1:5" hidden="1" x14ac:dyDescent="0.35">
      <c r="A217" t="s">
        <v>55</v>
      </c>
      <c r="B217">
        <v>2018</v>
      </c>
      <c r="C217">
        <v>2.2599999999999998</v>
      </c>
      <c r="D217" t="s">
        <v>18</v>
      </c>
      <c r="E217">
        <v>703.37</v>
      </c>
    </row>
    <row r="218" spans="1:5" hidden="1" x14ac:dyDescent="0.35">
      <c r="A218" t="s">
        <v>55</v>
      </c>
      <c r="B218">
        <v>2019</v>
      </c>
      <c r="C218">
        <v>2.25</v>
      </c>
      <c r="D218" t="s">
        <v>18</v>
      </c>
      <c r="E218">
        <v>717.6</v>
      </c>
    </row>
    <row r="219" spans="1:5" hidden="1" x14ac:dyDescent="0.35">
      <c r="A219" t="s">
        <v>55</v>
      </c>
      <c r="B219">
        <v>2020</v>
      </c>
      <c r="C219">
        <v>1.82</v>
      </c>
      <c r="D219" t="s">
        <v>18</v>
      </c>
      <c r="E219">
        <v>664.85</v>
      </c>
    </row>
    <row r="220" spans="1:5" hidden="1" x14ac:dyDescent="0.35">
      <c r="A220" t="s">
        <v>55</v>
      </c>
      <c r="B220">
        <v>2021</v>
      </c>
      <c r="C220">
        <v>4.18</v>
      </c>
      <c r="D220" t="s">
        <v>18</v>
      </c>
      <c r="E220">
        <v>676.79</v>
      </c>
    </row>
    <row r="221" spans="1:5" hidden="1" x14ac:dyDescent="0.35">
      <c r="A221" t="s">
        <v>55</v>
      </c>
      <c r="B221">
        <v>2022</v>
      </c>
      <c r="C221">
        <v>2.4900000000000002</v>
      </c>
      <c r="D221" t="s">
        <v>18</v>
      </c>
      <c r="E221">
        <v>708.03</v>
      </c>
    </row>
    <row r="222" spans="1:5" x14ac:dyDescent="0.35">
      <c r="A222" t="s">
        <v>55</v>
      </c>
      <c r="B222">
        <v>2023</v>
      </c>
      <c r="C222">
        <v>2.95</v>
      </c>
      <c r="D222" t="s">
        <v>18</v>
      </c>
      <c r="E222">
        <v>731.02</v>
      </c>
    </row>
    <row r="223" spans="1:5" hidden="1" x14ac:dyDescent="0.35">
      <c r="A223" t="s">
        <v>57</v>
      </c>
      <c r="B223">
        <v>2021</v>
      </c>
      <c r="C223">
        <v>35.24</v>
      </c>
      <c r="D223" t="s">
        <v>18</v>
      </c>
      <c r="E223">
        <v>168.24</v>
      </c>
    </row>
    <row r="224" spans="1:5" hidden="1" x14ac:dyDescent="0.35">
      <c r="A224" t="s">
        <v>57</v>
      </c>
      <c r="B224">
        <v>2022</v>
      </c>
      <c r="C224">
        <v>46.14</v>
      </c>
      <c r="D224" t="s">
        <v>18</v>
      </c>
      <c r="E224">
        <v>155.52000000000001</v>
      </c>
    </row>
    <row r="225" spans="1:5" x14ac:dyDescent="0.35">
      <c r="A225" t="s">
        <v>57</v>
      </c>
      <c r="B225">
        <v>2023</v>
      </c>
      <c r="C225">
        <v>39.33</v>
      </c>
      <c r="D225" t="s">
        <v>18</v>
      </c>
      <c r="E225">
        <v>145.66</v>
      </c>
    </row>
    <row r="226" spans="1:5" hidden="1" x14ac:dyDescent="0.35">
      <c r="A226" t="s">
        <v>58</v>
      </c>
      <c r="B226">
        <v>2020</v>
      </c>
      <c r="C226">
        <v>21.1</v>
      </c>
      <c r="D226" t="s">
        <v>18</v>
      </c>
      <c r="E226">
        <v>853.61</v>
      </c>
    </row>
    <row r="227" spans="1:5" hidden="1" x14ac:dyDescent="0.35">
      <c r="A227" t="s">
        <v>58</v>
      </c>
      <c r="B227">
        <v>2021</v>
      </c>
      <c r="C227">
        <v>31.83</v>
      </c>
      <c r="D227" t="s">
        <v>18</v>
      </c>
      <c r="E227">
        <v>844.41</v>
      </c>
    </row>
    <row r="228" spans="1:5" hidden="1" x14ac:dyDescent="0.35">
      <c r="A228" t="s">
        <v>58</v>
      </c>
      <c r="B228">
        <v>2022</v>
      </c>
      <c r="C228">
        <v>39.96</v>
      </c>
      <c r="D228" t="s">
        <v>18</v>
      </c>
      <c r="E228">
        <v>857.27</v>
      </c>
    </row>
    <row r="229" spans="1:5" hidden="1" x14ac:dyDescent="0.35">
      <c r="A229" t="s">
        <v>58</v>
      </c>
      <c r="B229">
        <v>2022</v>
      </c>
      <c r="C229">
        <v>39.96</v>
      </c>
      <c r="D229" t="s">
        <v>20</v>
      </c>
      <c r="E229">
        <v>857.27</v>
      </c>
    </row>
    <row r="230" spans="1:5" x14ac:dyDescent="0.35">
      <c r="A230" t="s">
        <v>58</v>
      </c>
      <c r="B230">
        <v>2023</v>
      </c>
      <c r="C230">
        <v>48.03</v>
      </c>
      <c r="D230" t="s">
        <v>18</v>
      </c>
      <c r="E230">
        <v>875.95</v>
      </c>
    </row>
    <row r="231" spans="1:5" hidden="1" x14ac:dyDescent="0.35">
      <c r="A231" t="s">
        <v>58</v>
      </c>
      <c r="B231">
        <v>2023</v>
      </c>
      <c r="C231">
        <v>48.03</v>
      </c>
      <c r="D231" t="s">
        <v>20</v>
      </c>
      <c r="E231">
        <v>875.95</v>
      </c>
    </row>
    <row r="232" spans="1:5" hidden="1" x14ac:dyDescent="0.35">
      <c r="A232" t="s">
        <v>59</v>
      </c>
      <c r="B232">
        <v>2015</v>
      </c>
      <c r="C232">
        <v>4.93</v>
      </c>
      <c r="D232" t="s">
        <v>20</v>
      </c>
      <c r="E232">
        <v>64.849999999999994</v>
      </c>
    </row>
    <row r="233" spans="1:5" hidden="1" x14ac:dyDescent="0.35">
      <c r="A233" t="s">
        <v>59</v>
      </c>
      <c r="B233">
        <v>2016</v>
      </c>
      <c r="C233">
        <v>13.03</v>
      </c>
      <c r="D233" t="s">
        <v>20</v>
      </c>
      <c r="E233">
        <v>69.13</v>
      </c>
    </row>
    <row r="234" spans="1:5" hidden="1" x14ac:dyDescent="0.35">
      <c r="A234" t="s">
        <v>59</v>
      </c>
      <c r="B234">
        <v>2017</v>
      </c>
      <c r="C234">
        <v>12.51</v>
      </c>
      <c r="D234" t="s">
        <v>20</v>
      </c>
      <c r="E234">
        <v>70.69</v>
      </c>
    </row>
    <row r="235" spans="1:5" hidden="1" x14ac:dyDescent="0.35">
      <c r="A235" t="s">
        <v>59</v>
      </c>
      <c r="B235">
        <v>2018</v>
      </c>
      <c r="C235">
        <v>15.22</v>
      </c>
      <c r="D235" t="s">
        <v>20</v>
      </c>
      <c r="E235">
        <v>69.97</v>
      </c>
    </row>
    <row r="236" spans="1:5" hidden="1" x14ac:dyDescent="0.35">
      <c r="A236" t="s">
        <v>59</v>
      </c>
      <c r="B236">
        <v>2019</v>
      </c>
      <c r="C236">
        <v>17.53</v>
      </c>
      <c r="D236" t="s">
        <v>20</v>
      </c>
      <c r="E236">
        <v>70.77</v>
      </c>
    </row>
    <row r="237" spans="1:5" hidden="1" x14ac:dyDescent="0.35">
      <c r="A237" t="s">
        <v>59</v>
      </c>
      <c r="B237">
        <v>2020</v>
      </c>
      <c r="C237">
        <v>14.3</v>
      </c>
      <c r="D237" t="s">
        <v>20</v>
      </c>
      <c r="E237">
        <v>67.81</v>
      </c>
    </row>
    <row r="238" spans="1:5" hidden="1" x14ac:dyDescent="0.35">
      <c r="A238" t="s">
        <v>59</v>
      </c>
      <c r="B238">
        <v>2021</v>
      </c>
      <c r="C238">
        <v>25.76</v>
      </c>
      <c r="D238" t="s">
        <v>20</v>
      </c>
      <c r="E238">
        <v>74.98</v>
      </c>
    </row>
    <row r="239" spans="1:5" hidden="1" x14ac:dyDescent="0.35">
      <c r="A239" t="s">
        <v>59</v>
      </c>
      <c r="B239">
        <v>2022</v>
      </c>
      <c r="C239">
        <v>52.62</v>
      </c>
      <c r="D239" t="s">
        <v>20</v>
      </c>
      <c r="E239">
        <v>71.239999999999995</v>
      </c>
    </row>
    <row r="240" spans="1:5" hidden="1" x14ac:dyDescent="0.35">
      <c r="A240" t="s">
        <v>59</v>
      </c>
      <c r="B240">
        <v>2023</v>
      </c>
      <c r="C240">
        <v>34.200000000000003</v>
      </c>
      <c r="D240" t="s">
        <v>20</v>
      </c>
      <c r="E240">
        <v>69.959999999999994</v>
      </c>
    </row>
    <row r="241" spans="1:5" hidden="1" x14ac:dyDescent="0.35">
      <c r="A241" t="s">
        <v>60</v>
      </c>
      <c r="B241">
        <v>2019</v>
      </c>
      <c r="C241">
        <v>15</v>
      </c>
      <c r="D241" t="s">
        <v>18</v>
      </c>
      <c r="E241">
        <v>915.12</v>
      </c>
    </row>
    <row r="242" spans="1:5" hidden="1" x14ac:dyDescent="0.35">
      <c r="A242" t="s">
        <v>60</v>
      </c>
      <c r="B242">
        <v>2020</v>
      </c>
      <c r="C242">
        <v>14.07</v>
      </c>
      <c r="D242" t="s">
        <v>18</v>
      </c>
      <c r="E242">
        <v>853.61</v>
      </c>
    </row>
    <row r="243" spans="1:5" hidden="1" x14ac:dyDescent="0.35">
      <c r="A243" t="s">
        <v>60</v>
      </c>
      <c r="B243">
        <v>2021</v>
      </c>
      <c r="C243">
        <v>23.88</v>
      </c>
      <c r="D243" t="s">
        <v>18</v>
      </c>
      <c r="E243">
        <v>844.41</v>
      </c>
    </row>
    <row r="244" spans="1:5" hidden="1" x14ac:dyDescent="0.35">
      <c r="A244" t="s">
        <v>60</v>
      </c>
      <c r="B244">
        <v>2021</v>
      </c>
      <c r="C244">
        <v>23.88</v>
      </c>
      <c r="D244" t="s">
        <v>20</v>
      </c>
      <c r="E244">
        <v>844.41</v>
      </c>
    </row>
    <row r="245" spans="1:5" hidden="1" x14ac:dyDescent="0.35">
      <c r="A245" t="s">
        <v>60</v>
      </c>
      <c r="B245">
        <v>2022</v>
      </c>
      <c r="C245">
        <v>39.96</v>
      </c>
      <c r="D245" t="s">
        <v>18</v>
      </c>
      <c r="E245">
        <v>857.27</v>
      </c>
    </row>
    <row r="246" spans="1:5" hidden="1" x14ac:dyDescent="0.35">
      <c r="A246" t="s">
        <v>60</v>
      </c>
      <c r="B246">
        <v>2022</v>
      </c>
      <c r="C246">
        <v>39.96</v>
      </c>
      <c r="D246" t="s">
        <v>20</v>
      </c>
      <c r="E246">
        <v>857.27</v>
      </c>
    </row>
    <row r="247" spans="1:5" x14ac:dyDescent="0.35">
      <c r="A247" t="s">
        <v>60</v>
      </c>
      <c r="B247">
        <v>2023</v>
      </c>
      <c r="C247">
        <v>48.03</v>
      </c>
      <c r="D247" t="s">
        <v>18</v>
      </c>
      <c r="E247">
        <v>875.95</v>
      </c>
    </row>
    <row r="248" spans="1:5" hidden="1" x14ac:dyDescent="0.35">
      <c r="A248" t="s">
        <v>60</v>
      </c>
      <c r="B248">
        <v>2023</v>
      </c>
      <c r="C248">
        <v>48.03</v>
      </c>
      <c r="D248" t="s">
        <v>20</v>
      </c>
      <c r="E248">
        <v>875.95</v>
      </c>
    </row>
    <row r="249" spans="1:5" hidden="1" x14ac:dyDescent="0.35">
      <c r="A249" t="s">
        <v>61</v>
      </c>
      <c r="B249">
        <v>2020</v>
      </c>
      <c r="C249">
        <v>14.07</v>
      </c>
      <c r="D249" t="s">
        <v>18</v>
      </c>
      <c r="E249">
        <v>853.61</v>
      </c>
    </row>
    <row r="250" spans="1:5" hidden="1" x14ac:dyDescent="0.35">
      <c r="A250" t="s">
        <v>61</v>
      </c>
      <c r="B250">
        <v>2021</v>
      </c>
      <c r="C250">
        <v>23.88</v>
      </c>
      <c r="D250" t="s">
        <v>18</v>
      </c>
      <c r="E250">
        <v>844.41</v>
      </c>
    </row>
    <row r="251" spans="1:5" hidden="1" x14ac:dyDescent="0.35">
      <c r="A251" t="s">
        <v>61</v>
      </c>
      <c r="B251">
        <v>2022</v>
      </c>
      <c r="C251">
        <v>31.97</v>
      </c>
      <c r="D251" t="s">
        <v>18</v>
      </c>
      <c r="E251">
        <v>857.27</v>
      </c>
    </row>
    <row r="252" spans="1:5" x14ac:dyDescent="0.35">
      <c r="A252" t="s">
        <v>61</v>
      </c>
      <c r="B252">
        <v>2023</v>
      </c>
      <c r="C252">
        <v>48.03</v>
      </c>
      <c r="D252" t="s">
        <v>18</v>
      </c>
      <c r="E252">
        <v>875.95</v>
      </c>
    </row>
    <row r="253" spans="1:5" hidden="1" x14ac:dyDescent="0.35">
      <c r="A253" t="s">
        <v>62</v>
      </c>
      <c r="B253">
        <v>2015</v>
      </c>
      <c r="C253">
        <v>63.24</v>
      </c>
      <c r="D253" t="s">
        <v>18</v>
      </c>
      <c r="E253">
        <v>36.06</v>
      </c>
    </row>
    <row r="254" spans="1:5" hidden="1" x14ac:dyDescent="0.35">
      <c r="A254" t="s">
        <v>62</v>
      </c>
      <c r="B254">
        <v>2016</v>
      </c>
      <c r="C254">
        <v>62.08</v>
      </c>
      <c r="D254" t="s">
        <v>18</v>
      </c>
      <c r="E254">
        <v>46.29</v>
      </c>
    </row>
    <row r="255" spans="1:5" hidden="1" x14ac:dyDescent="0.35">
      <c r="A255" t="s">
        <v>62</v>
      </c>
      <c r="B255">
        <v>2017</v>
      </c>
      <c r="C255">
        <v>63.94</v>
      </c>
      <c r="D255" t="s">
        <v>18</v>
      </c>
      <c r="E255">
        <v>45.96</v>
      </c>
    </row>
    <row r="256" spans="1:5" hidden="1" x14ac:dyDescent="0.35">
      <c r="A256" t="s">
        <v>62</v>
      </c>
      <c r="B256">
        <v>2018</v>
      </c>
      <c r="C256">
        <v>74.45</v>
      </c>
      <c r="D256" t="s">
        <v>18</v>
      </c>
      <c r="E256">
        <v>45.36</v>
      </c>
    </row>
    <row r="257" spans="1:5" hidden="1" x14ac:dyDescent="0.35">
      <c r="A257" t="s">
        <v>62</v>
      </c>
      <c r="B257">
        <v>2019</v>
      </c>
      <c r="C257">
        <v>67.150000000000006</v>
      </c>
      <c r="D257" t="s">
        <v>18</v>
      </c>
      <c r="E257">
        <v>43.98</v>
      </c>
    </row>
    <row r="258" spans="1:5" hidden="1" x14ac:dyDescent="0.35">
      <c r="A258" t="s">
        <v>62</v>
      </c>
      <c r="B258">
        <v>2020</v>
      </c>
      <c r="C258">
        <v>58.94</v>
      </c>
      <c r="D258" t="s">
        <v>18</v>
      </c>
      <c r="E258">
        <v>42.34</v>
      </c>
    </row>
    <row r="259" spans="1:5" hidden="1" x14ac:dyDescent="0.35">
      <c r="A259" t="s">
        <v>62</v>
      </c>
      <c r="B259">
        <v>2021</v>
      </c>
      <c r="C259">
        <v>60.76</v>
      </c>
      <c r="D259" t="s">
        <v>18</v>
      </c>
      <c r="E259">
        <v>51.64</v>
      </c>
    </row>
    <row r="260" spans="1:5" hidden="1" x14ac:dyDescent="0.35">
      <c r="A260" t="s">
        <v>62</v>
      </c>
      <c r="B260">
        <v>2022</v>
      </c>
      <c r="C260">
        <v>54.27</v>
      </c>
      <c r="D260" t="s">
        <v>18</v>
      </c>
      <c r="E260">
        <v>51.03</v>
      </c>
    </row>
    <row r="261" spans="1:5" x14ac:dyDescent="0.35">
      <c r="A261" t="s">
        <v>62</v>
      </c>
      <c r="B261">
        <v>2023</v>
      </c>
      <c r="C261">
        <v>50.14</v>
      </c>
      <c r="D261" t="s">
        <v>18</v>
      </c>
      <c r="E261">
        <v>49.47</v>
      </c>
    </row>
    <row r="262" spans="1:5" hidden="1" x14ac:dyDescent="0.35">
      <c r="A262" t="s">
        <v>63</v>
      </c>
      <c r="B262">
        <v>2021</v>
      </c>
      <c r="C262">
        <v>19.66</v>
      </c>
      <c r="D262" t="s">
        <v>20</v>
      </c>
      <c r="E262">
        <v>844.41</v>
      </c>
    </row>
    <row r="263" spans="1:5" hidden="1" x14ac:dyDescent="0.35">
      <c r="A263" t="s">
        <v>63</v>
      </c>
      <c r="B263">
        <v>2022</v>
      </c>
      <c r="C263">
        <v>23.1</v>
      </c>
      <c r="D263" t="s">
        <v>20</v>
      </c>
      <c r="E263">
        <v>857.27</v>
      </c>
    </row>
    <row r="264" spans="1:5" hidden="1" x14ac:dyDescent="0.35">
      <c r="A264" t="s">
        <v>63</v>
      </c>
      <c r="B264">
        <v>2023</v>
      </c>
      <c r="C264">
        <v>20.87</v>
      </c>
      <c r="D264" t="s">
        <v>20</v>
      </c>
      <c r="E264">
        <v>875.95</v>
      </c>
    </row>
    <row r="265" spans="1:5" hidden="1" x14ac:dyDescent="0.35">
      <c r="A265" t="s">
        <v>64</v>
      </c>
      <c r="B265">
        <v>2017</v>
      </c>
      <c r="C265">
        <v>14.06</v>
      </c>
      <c r="D265" t="s">
        <v>20</v>
      </c>
      <c r="E265">
        <v>905.03</v>
      </c>
    </row>
    <row r="266" spans="1:5" hidden="1" x14ac:dyDescent="0.35">
      <c r="A266" t="s">
        <v>64</v>
      </c>
      <c r="B266">
        <v>2018</v>
      </c>
      <c r="C266">
        <v>11.7</v>
      </c>
      <c r="D266" t="s">
        <v>20</v>
      </c>
      <c r="E266">
        <v>923.96</v>
      </c>
    </row>
    <row r="267" spans="1:5" hidden="1" x14ac:dyDescent="0.35">
      <c r="A267" t="s">
        <v>64</v>
      </c>
      <c r="B267">
        <v>2022</v>
      </c>
      <c r="C267">
        <v>31.97</v>
      </c>
      <c r="D267" t="s">
        <v>20</v>
      </c>
      <c r="E267">
        <v>857.27</v>
      </c>
    </row>
    <row r="268" spans="1:5" hidden="1" x14ac:dyDescent="0.35">
      <c r="A268" t="s">
        <v>64</v>
      </c>
      <c r="B268">
        <v>2023</v>
      </c>
      <c r="C268">
        <v>48.03</v>
      </c>
      <c r="D268" t="s">
        <v>20</v>
      </c>
      <c r="E268">
        <v>875.95</v>
      </c>
    </row>
    <row r="269" spans="1:5" hidden="1" x14ac:dyDescent="0.35">
      <c r="A269" t="s">
        <v>65</v>
      </c>
      <c r="B269">
        <v>2015</v>
      </c>
      <c r="C269">
        <v>3.88</v>
      </c>
      <c r="D269" t="s">
        <v>18</v>
      </c>
      <c r="E269">
        <v>352.81</v>
      </c>
    </row>
    <row r="270" spans="1:5" hidden="1" x14ac:dyDescent="0.35">
      <c r="A270" t="s">
        <v>65</v>
      </c>
      <c r="B270">
        <v>2016</v>
      </c>
      <c r="C270">
        <v>3.96</v>
      </c>
      <c r="D270" t="s">
        <v>18</v>
      </c>
      <c r="E270">
        <v>376.66</v>
      </c>
    </row>
    <row r="271" spans="1:5" hidden="1" x14ac:dyDescent="0.35">
      <c r="A271" t="s">
        <v>65</v>
      </c>
      <c r="B271">
        <v>2017</v>
      </c>
      <c r="C271">
        <v>2.99</v>
      </c>
      <c r="D271" t="s">
        <v>18</v>
      </c>
      <c r="E271">
        <v>389.14</v>
      </c>
    </row>
    <row r="272" spans="1:5" hidden="1" x14ac:dyDescent="0.35">
      <c r="A272" t="s">
        <v>65</v>
      </c>
      <c r="B272">
        <v>2018</v>
      </c>
      <c r="C272">
        <v>3.48</v>
      </c>
      <c r="D272" t="s">
        <v>18</v>
      </c>
      <c r="E272">
        <v>386.99</v>
      </c>
    </row>
    <row r="273" spans="1:5" hidden="1" x14ac:dyDescent="0.35">
      <c r="A273" t="s">
        <v>65</v>
      </c>
      <c r="B273">
        <v>2019</v>
      </c>
      <c r="C273">
        <v>3.15</v>
      </c>
      <c r="D273" t="s">
        <v>18</v>
      </c>
      <c r="E273">
        <v>368.59</v>
      </c>
    </row>
    <row r="274" spans="1:5" hidden="1" x14ac:dyDescent="0.35">
      <c r="A274" t="s">
        <v>65</v>
      </c>
      <c r="B274">
        <v>2020</v>
      </c>
      <c r="C274">
        <v>2.93</v>
      </c>
      <c r="D274" t="s">
        <v>18</v>
      </c>
      <c r="E274">
        <v>350.9</v>
      </c>
    </row>
    <row r="275" spans="1:5" hidden="1" x14ac:dyDescent="0.35">
      <c r="A275" t="s">
        <v>65</v>
      </c>
      <c r="B275">
        <v>2021</v>
      </c>
      <c r="C275">
        <v>3.17</v>
      </c>
      <c r="D275" t="s">
        <v>18</v>
      </c>
      <c r="E275">
        <v>399.18</v>
      </c>
    </row>
    <row r="276" spans="1:5" hidden="1" x14ac:dyDescent="0.35">
      <c r="A276" t="s">
        <v>65</v>
      </c>
      <c r="B276">
        <v>2022</v>
      </c>
      <c r="C276">
        <v>3.08</v>
      </c>
      <c r="D276" t="s">
        <v>18</v>
      </c>
      <c r="E276">
        <v>383.98</v>
      </c>
    </row>
    <row r="277" spans="1:5" x14ac:dyDescent="0.35">
      <c r="A277" t="s">
        <v>65</v>
      </c>
      <c r="B277">
        <v>2023</v>
      </c>
      <c r="C277">
        <v>3.17</v>
      </c>
      <c r="D277" t="s">
        <v>18</v>
      </c>
      <c r="E277">
        <v>354.9</v>
      </c>
    </row>
    <row r="278" spans="1:5" hidden="1" x14ac:dyDescent="0.35">
      <c r="A278" t="s">
        <v>66</v>
      </c>
      <c r="B278">
        <v>2015</v>
      </c>
      <c r="C278">
        <v>4.5</v>
      </c>
      <c r="D278" t="s">
        <v>18</v>
      </c>
      <c r="E278">
        <v>65.819999999999993</v>
      </c>
    </row>
    <row r="279" spans="1:5" hidden="1" x14ac:dyDescent="0.35">
      <c r="A279" t="s">
        <v>66</v>
      </c>
      <c r="B279">
        <v>2016</v>
      </c>
      <c r="C279">
        <v>7.26</v>
      </c>
      <c r="D279" t="s">
        <v>18</v>
      </c>
      <c r="E279">
        <v>69.77</v>
      </c>
    </row>
    <row r="280" spans="1:5" hidden="1" x14ac:dyDescent="0.35">
      <c r="A280" t="s">
        <v>66</v>
      </c>
      <c r="B280">
        <v>2017</v>
      </c>
      <c r="C280">
        <v>6.97</v>
      </c>
      <c r="D280" t="s">
        <v>18</v>
      </c>
      <c r="E280">
        <v>75.150000000000006</v>
      </c>
    </row>
    <row r="281" spans="1:5" hidden="1" x14ac:dyDescent="0.35">
      <c r="A281" t="s">
        <v>66</v>
      </c>
      <c r="B281">
        <v>2018</v>
      </c>
      <c r="C281">
        <v>6.86</v>
      </c>
      <c r="D281" t="s">
        <v>18</v>
      </c>
      <c r="E281">
        <v>70.3</v>
      </c>
    </row>
    <row r="282" spans="1:5" hidden="1" x14ac:dyDescent="0.35">
      <c r="A282" t="s">
        <v>66</v>
      </c>
      <c r="B282">
        <v>2019</v>
      </c>
      <c r="C282">
        <v>12.78</v>
      </c>
      <c r="D282" t="s">
        <v>18</v>
      </c>
      <c r="E282">
        <v>65.69</v>
      </c>
    </row>
    <row r="283" spans="1:5" hidden="1" x14ac:dyDescent="0.35">
      <c r="A283" t="s">
        <v>66</v>
      </c>
      <c r="B283">
        <v>2020</v>
      </c>
      <c r="C283">
        <v>37.270000000000003</v>
      </c>
      <c r="D283" t="s">
        <v>18</v>
      </c>
      <c r="E283">
        <v>60.05</v>
      </c>
    </row>
    <row r="284" spans="1:5" hidden="1" x14ac:dyDescent="0.35">
      <c r="A284" t="s">
        <v>66</v>
      </c>
      <c r="B284">
        <v>2021</v>
      </c>
      <c r="C284">
        <v>27.99</v>
      </c>
      <c r="D284" t="s">
        <v>18</v>
      </c>
      <c r="E284">
        <v>52.81</v>
      </c>
    </row>
    <row r="285" spans="1:5" hidden="1" x14ac:dyDescent="0.35">
      <c r="A285" t="s">
        <v>66</v>
      </c>
      <c r="B285">
        <v>2022</v>
      </c>
      <c r="C285">
        <v>26.34</v>
      </c>
      <c r="D285" t="s">
        <v>18</v>
      </c>
      <c r="E285">
        <v>53.58</v>
      </c>
    </row>
    <row r="286" spans="1:5" x14ac:dyDescent="0.35">
      <c r="A286" t="s">
        <v>66</v>
      </c>
      <c r="B286">
        <v>2023</v>
      </c>
      <c r="C286">
        <v>25.92</v>
      </c>
      <c r="D286" t="s">
        <v>18</v>
      </c>
      <c r="E286">
        <v>51.44</v>
      </c>
    </row>
    <row r="287" spans="1:5" hidden="1" x14ac:dyDescent="0.35">
      <c r="A287" t="s">
        <v>67</v>
      </c>
      <c r="B287">
        <v>2019</v>
      </c>
      <c r="C287">
        <v>15</v>
      </c>
      <c r="D287" t="s">
        <v>18</v>
      </c>
      <c r="E287">
        <v>915.12</v>
      </c>
    </row>
    <row r="288" spans="1:5" hidden="1" x14ac:dyDescent="0.35">
      <c r="A288" t="s">
        <v>67</v>
      </c>
      <c r="B288">
        <v>2020</v>
      </c>
      <c r="C288">
        <v>21.1</v>
      </c>
      <c r="D288" t="s">
        <v>18</v>
      </c>
      <c r="E288">
        <v>853.61</v>
      </c>
    </row>
    <row r="289" spans="1:5" hidden="1" x14ac:dyDescent="0.35">
      <c r="A289" t="s">
        <v>67</v>
      </c>
      <c r="B289">
        <v>2021</v>
      </c>
      <c r="C289">
        <v>23.88</v>
      </c>
      <c r="D289" t="s">
        <v>18</v>
      </c>
      <c r="E289">
        <v>844.41</v>
      </c>
    </row>
    <row r="290" spans="1:5" hidden="1" x14ac:dyDescent="0.35">
      <c r="A290" t="s">
        <v>67</v>
      </c>
      <c r="B290">
        <v>2022</v>
      </c>
      <c r="C290">
        <v>23.98</v>
      </c>
      <c r="D290" t="s">
        <v>18</v>
      </c>
      <c r="E290">
        <v>857.27</v>
      </c>
    </row>
    <row r="291" spans="1:5" x14ac:dyDescent="0.35">
      <c r="A291" t="s">
        <v>67</v>
      </c>
      <c r="B291">
        <v>2023</v>
      </c>
      <c r="C291">
        <v>36.950000000000003</v>
      </c>
      <c r="D291" t="s">
        <v>18</v>
      </c>
      <c r="E291">
        <v>875.95</v>
      </c>
    </row>
    <row r="292" spans="1:5" hidden="1" x14ac:dyDescent="0.35">
      <c r="A292" t="s">
        <v>68</v>
      </c>
      <c r="B292">
        <v>2015</v>
      </c>
      <c r="C292">
        <v>12.49</v>
      </c>
      <c r="D292" t="s">
        <v>20</v>
      </c>
      <c r="E292">
        <v>789.07</v>
      </c>
    </row>
    <row r="293" spans="1:5" hidden="1" x14ac:dyDescent="0.35">
      <c r="A293" t="s">
        <v>68</v>
      </c>
      <c r="B293">
        <v>2016</v>
      </c>
      <c r="C293">
        <v>12.8</v>
      </c>
      <c r="D293" t="s">
        <v>20</v>
      </c>
      <c r="E293">
        <v>886.24</v>
      </c>
    </row>
    <row r="294" spans="1:5" hidden="1" x14ac:dyDescent="0.35">
      <c r="A294" t="s">
        <v>68</v>
      </c>
      <c r="B294">
        <v>2017</v>
      </c>
      <c r="C294">
        <v>15.08</v>
      </c>
      <c r="D294" t="s">
        <v>20</v>
      </c>
      <c r="E294">
        <v>905.03</v>
      </c>
    </row>
    <row r="295" spans="1:5" hidden="1" x14ac:dyDescent="0.35">
      <c r="A295" t="s">
        <v>68</v>
      </c>
      <c r="B295">
        <v>2018</v>
      </c>
      <c r="C295">
        <v>15.1</v>
      </c>
      <c r="D295" t="s">
        <v>20</v>
      </c>
      <c r="E295">
        <v>923.96</v>
      </c>
    </row>
    <row r="296" spans="1:5" hidden="1" x14ac:dyDescent="0.35">
      <c r="A296" t="s">
        <v>68</v>
      </c>
      <c r="B296">
        <v>2019</v>
      </c>
      <c r="C296">
        <v>15.77</v>
      </c>
      <c r="D296" t="s">
        <v>20</v>
      </c>
      <c r="E296">
        <v>915.12</v>
      </c>
    </row>
    <row r="297" spans="1:5" hidden="1" x14ac:dyDescent="0.35">
      <c r="A297" t="s">
        <v>68</v>
      </c>
      <c r="B297">
        <v>2020</v>
      </c>
      <c r="C297">
        <v>21.75</v>
      </c>
      <c r="D297" t="s">
        <v>20</v>
      </c>
      <c r="E297">
        <v>853.61</v>
      </c>
    </row>
    <row r="298" spans="1:5" hidden="1" x14ac:dyDescent="0.35">
      <c r="A298" t="s">
        <v>68</v>
      </c>
      <c r="B298">
        <v>2021</v>
      </c>
      <c r="C298">
        <v>17.940000000000001</v>
      </c>
      <c r="D298" t="s">
        <v>20</v>
      </c>
      <c r="E298">
        <v>844.41</v>
      </c>
    </row>
    <row r="299" spans="1:5" hidden="1" x14ac:dyDescent="0.35">
      <c r="A299" t="s">
        <v>68</v>
      </c>
      <c r="B299">
        <v>2022</v>
      </c>
      <c r="C299">
        <v>38.58</v>
      </c>
      <c r="D299" t="s">
        <v>20</v>
      </c>
      <c r="E299">
        <v>857.27</v>
      </c>
    </row>
    <row r="300" spans="1:5" hidden="1" x14ac:dyDescent="0.35">
      <c r="A300" t="s">
        <v>68</v>
      </c>
      <c r="B300">
        <v>2023</v>
      </c>
      <c r="C300">
        <v>29.84</v>
      </c>
      <c r="D300" t="s">
        <v>20</v>
      </c>
      <c r="E300">
        <v>875.95</v>
      </c>
    </row>
    <row r="301" spans="1:5" x14ac:dyDescent="0.35">
      <c r="A301" t="s">
        <v>69</v>
      </c>
      <c r="B301">
        <v>2023</v>
      </c>
      <c r="C301">
        <v>32.200000000000003</v>
      </c>
      <c r="D301" t="s">
        <v>18</v>
      </c>
      <c r="E301">
        <v>731.02</v>
      </c>
    </row>
    <row r="302" spans="1:5" hidden="1" x14ac:dyDescent="0.35">
      <c r="A302" t="s">
        <v>70</v>
      </c>
      <c r="B302">
        <v>2015</v>
      </c>
      <c r="C302">
        <v>5.9</v>
      </c>
      <c r="D302" t="s">
        <v>20</v>
      </c>
      <c r="E302">
        <v>5468.96</v>
      </c>
    </row>
    <row r="303" spans="1:5" hidden="1" x14ac:dyDescent="0.35">
      <c r="A303" t="s">
        <v>70</v>
      </c>
      <c r="B303">
        <v>2016</v>
      </c>
      <c r="C303">
        <v>5.23</v>
      </c>
      <c r="D303" t="s">
        <v>20</v>
      </c>
      <c r="E303">
        <v>5505.43</v>
      </c>
    </row>
    <row r="304" spans="1:5" hidden="1" x14ac:dyDescent="0.35">
      <c r="A304" t="s">
        <v>70</v>
      </c>
      <c r="B304">
        <v>2017</v>
      </c>
      <c r="C304">
        <v>3.94</v>
      </c>
      <c r="D304" t="s">
        <v>20</v>
      </c>
      <c r="E304">
        <v>5459.13</v>
      </c>
    </row>
    <row r="305" spans="1:5" hidden="1" x14ac:dyDescent="0.35">
      <c r="A305" t="s">
        <v>70</v>
      </c>
      <c r="B305">
        <v>2018</v>
      </c>
      <c r="C305">
        <v>4.3</v>
      </c>
      <c r="D305" t="s">
        <v>20</v>
      </c>
      <c r="E305">
        <v>5693.3</v>
      </c>
    </row>
    <row r="306" spans="1:5" hidden="1" x14ac:dyDescent="0.35">
      <c r="A306" t="s">
        <v>70</v>
      </c>
      <c r="B306">
        <v>2019</v>
      </c>
      <c r="C306">
        <v>4.9400000000000004</v>
      </c>
      <c r="D306" t="s">
        <v>20</v>
      </c>
      <c r="E306">
        <v>5577.45</v>
      </c>
    </row>
    <row r="307" spans="1:5" hidden="1" x14ac:dyDescent="0.35">
      <c r="A307" t="s">
        <v>70</v>
      </c>
      <c r="B307">
        <v>2020</v>
      </c>
      <c r="C307">
        <v>5.13</v>
      </c>
      <c r="D307" t="s">
        <v>20</v>
      </c>
      <c r="E307">
        <v>5022.8900000000003</v>
      </c>
    </row>
    <row r="308" spans="1:5" hidden="1" x14ac:dyDescent="0.35">
      <c r="A308" t="s">
        <v>70</v>
      </c>
      <c r="B308">
        <v>2021</v>
      </c>
      <c r="C308">
        <v>8.69</v>
      </c>
      <c r="D308" t="s">
        <v>20</v>
      </c>
      <c r="E308">
        <v>5563.7</v>
      </c>
    </row>
    <row r="309" spans="1:5" hidden="1" x14ac:dyDescent="0.35">
      <c r="A309" t="s">
        <v>70</v>
      </c>
      <c r="B309">
        <v>2022</v>
      </c>
      <c r="C309">
        <v>13.89</v>
      </c>
      <c r="D309" t="s">
        <v>20</v>
      </c>
      <c r="E309">
        <v>5638.18</v>
      </c>
    </row>
    <row r="310" spans="1:5" hidden="1" x14ac:dyDescent="0.35">
      <c r="A310" t="s">
        <v>70</v>
      </c>
      <c r="B310">
        <v>2023</v>
      </c>
      <c r="C310">
        <v>15.39</v>
      </c>
      <c r="D310" t="s">
        <v>20</v>
      </c>
      <c r="E310">
        <v>5434.18</v>
      </c>
    </row>
    <row r="311" spans="1:5" hidden="1" x14ac:dyDescent="0.35">
      <c r="A311" t="s">
        <v>71</v>
      </c>
      <c r="B311">
        <v>2015</v>
      </c>
      <c r="C311">
        <v>37.51</v>
      </c>
      <c r="D311" t="s">
        <v>20</v>
      </c>
      <c r="E311">
        <v>1192.92</v>
      </c>
    </row>
    <row r="312" spans="1:5" hidden="1" x14ac:dyDescent="0.35">
      <c r="A312" t="s">
        <v>71</v>
      </c>
      <c r="B312">
        <v>2016</v>
      </c>
      <c r="C312">
        <v>14.64</v>
      </c>
      <c r="D312" t="s">
        <v>20</v>
      </c>
      <c r="E312">
        <v>1194.45</v>
      </c>
    </row>
    <row r="313" spans="1:5" hidden="1" x14ac:dyDescent="0.35">
      <c r="A313" t="s">
        <v>71</v>
      </c>
      <c r="B313">
        <v>2017</v>
      </c>
      <c r="C313">
        <v>13.39</v>
      </c>
      <c r="D313" t="s">
        <v>20</v>
      </c>
      <c r="E313">
        <v>1182.19</v>
      </c>
    </row>
    <row r="314" spans="1:5" hidden="1" x14ac:dyDescent="0.35">
      <c r="A314" t="s">
        <v>71</v>
      </c>
      <c r="B314">
        <v>2018</v>
      </c>
      <c r="C314">
        <v>5.69</v>
      </c>
      <c r="D314" t="s">
        <v>20</v>
      </c>
      <c r="E314">
        <v>1143.5999999999999</v>
      </c>
    </row>
    <row r="315" spans="1:5" hidden="1" x14ac:dyDescent="0.35">
      <c r="A315" t="s">
        <v>71</v>
      </c>
      <c r="B315">
        <v>2019</v>
      </c>
      <c r="C315">
        <v>5.85</v>
      </c>
      <c r="D315" t="s">
        <v>20</v>
      </c>
      <c r="E315">
        <v>1108.04</v>
      </c>
    </row>
    <row r="316" spans="1:5" hidden="1" x14ac:dyDescent="0.35">
      <c r="A316" t="s">
        <v>71</v>
      </c>
      <c r="B316">
        <v>2020</v>
      </c>
      <c r="C316">
        <v>5.58</v>
      </c>
      <c r="D316" t="s">
        <v>20</v>
      </c>
      <c r="E316">
        <v>1051.6400000000001</v>
      </c>
    </row>
    <row r="317" spans="1:5" hidden="1" x14ac:dyDescent="0.35">
      <c r="A317" t="s">
        <v>71</v>
      </c>
      <c r="B317">
        <v>2021</v>
      </c>
      <c r="C317">
        <v>5.42</v>
      </c>
      <c r="D317" t="s">
        <v>20</v>
      </c>
      <c r="E317">
        <v>1103.6300000000001</v>
      </c>
    </row>
    <row r="318" spans="1:5" hidden="1" x14ac:dyDescent="0.35">
      <c r="A318" t="s">
        <v>71</v>
      </c>
      <c r="B318">
        <v>2022</v>
      </c>
      <c r="C318">
        <v>3.84</v>
      </c>
      <c r="D318" t="s">
        <v>20</v>
      </c>
      <c r="E318">
        <v>1078.93</v>
      </c>
    </row>
    <row r="319" spans="1:5" hidden="1" x14ac:dyDescent="0.35">
      <c r="A319" t="s">
        <v>71</v>
      </c>
      <c r="B319">
        <v>2023</v>
      </c>
      <c r="C319">
        <v>1.08</v>
      </c>
      <c r="D319" t="s">
        <v>20</v>
      </c>
      <c r="E319">
        <v>1034.23</v>
      </c>
    </row>
    <row r="320" spans="1:5" hidden="1" x14ac:dyDescent="0.35">
      <c r="A320" t="s">
        <v>72</v>
      </c>
      <c r="B320">
        <v>2021</v>
      </c>
      <c r="C320">
        <v>31.83</v>
      </c>
      <c r="D320" t="s">
        <v>20</v>
      </c>
      <c r="E320">
        <v>844.41</v>
      </c>
    </row>
    <row r="321" spans="1:5" hidden="1" x14ac:dyDescent="0.35">
      <c r="A321" t="s">
        <v>72</v>
      </c>
      <c r="B321">
        <v>2022</v>
      </c>
      <c r="C321">
        <v>39.96</v>
      </c>
      <c r="D321" t="s">
        <v>20</v>
      </c>
      <c r="E321">
        <v>857.27</v>
      </c>
    </row>
    <row r="322" spans="1:5" hidden="1" x14ac:dyDescent="0.35">
      <c r="A322" t="s">
        <v>72</v>
      </c>
      <c r="B322">
        <v>2023</v>
      </c>
      <c r="C322">
        <v>48.03</v>
      </c>
      <c r="D322" t="s">
        <v>20</v>
      </c>
      <c r="E322">
        <v>875.95</v>
      </c>
    </row>
    <row r="323" spans="1:5" hidden="1" x14ac:dyDescent="0.35">
      <c r="A323" t="s">
        <v>73</v>
      </c>
      <c r="B323">
        <v>2015</v>
      </c>
      <c r="C323">
        <v>4.7300000000000004</v>
      </c>
      <c r="D323" t="s">
        <v>20</v>
      </c>
      <c r="E323">
        <v>11103.35</v>
      </c>
    </row>
    <row r="324" spans="1:5" hidden="1" x14ac:dyDescent="0.35">
      <c r="A324" t="s">
        <v>73</v>
      </c>
      <c r="B324">
        <v>2016</v>
      </c>
      <c r="C324">
        <v>1.32</v>
      </c>
      <c r="D324" t="s">
        <v>20</v>
      </c>
      <c r="E324">
        <v>10955.02</v>
      </c>
    </row>
    <row r="325" spans="1:5" hidden="1" x14ac:dyDescent="0.35">
      <c r="A325" t="s">
        <v>73</v>
      </c>
      <c r="B325">
        <v>2017</v>
      </c>
      <c r="C325">
        <v>4.57</v>
      </c>
      <c r="D325" t="s">
        <v>20</v>
      </c>
      <c r="E325">
        <v>11189.72</v>
      </c>
    </row>
    <row r="326" spans="1:5" hidden="1" x14ac:dyDescent="0.35">
      <c r="A326" t="s">
        <v>73</v>
      </c>
      <c r="B326">
        <v>2018</v>
      </c>
      <c r="C326">
        <v>6.21</v>
      </c>
      <c r="D326" t="s">
        <v>20</v>
      </c>
      <c r="E326">
        <v>11662.12</v>
      </c>
    </row>
    <row r="327" spans="1:5" hidden="1" x14ac:dyDescent="0.35">
      <c r="A327" t="s">
        <v>73</v>
      </c>
      <c r="B327">
        <v>2019</v>
      </c>
      <c r="C327">
        <v>6.09</v>
      </c>
      <c r="D327" t="s">
        <v>20</v>
      </c>
      <c r="E327">
        <v>11915.69</v>
      </c>
    </row>
    <row r="328" spans="1:5" hidden="1" x14ac:dyDescent="0.35">
      <c r="A328" t="s">
        <v>73</v>
      </c>
      <c r="B328">
        <v>2020</v>
      </c>
      <c r="C328">
        <v>5.07</v>
      </c>
      <c r="D328" t="s">
        <v>20</v>
      </c>
      <c r="E328">
        <v>12084.55</v>
      </c>
    </row>
    <row r="329" spans="1:5" hidden="1" x14ac:dyDescent="0.35">
      <c r="A329" t="s">
        <v>73</v>
      </c>
      <c r="B329">
        <v>2021</v>
      </c>
      <c r="C329">
        <v>6.32</v>
      </c>
      <c r="D329" t="s">
        <v>20</v>
      </c>
      <c r="E329">
        <v>12665.78</v>
      </c>
    </row>
    <row r="330" spans="1:5" hidden="1" x14ac:dyDescent="0.35">
      <c r="A330" t="s">
        <v>73</v>
      </c>
      <c r="B330">
        <v>2022</v>
      </c>
      <c r="C330">
        <v>9.2799999999999994</v>
      </c>
      <c r="D330" t="s">
        <v>20</v>
      </c>
      <c r="E330">
        <v>12651.27</v>
      </c>
    </row>
    <row r="331" spans="1:5" hidden="1" x14ac:dyDescent="0.35">
      <c r="A331" t="s">
        <v>73</v>
      </c>
      <c r="B331">
        <v>2023</v>
      </c>
      <c r="C331">
        <v>8.7200000000000006</v>
      </c>
      <c r="D331" t="s">
        <v>20</v>
      </c>
      <c r="E331">
        <v>13152.05</v>
      </c>
    </row>
    <row r="332" spans="1:5" hidden="1" x14ac:dyDescent="0.35">
      <c r="A332" t="s">
        <v>74</v>
      </c>
      <c r="B332">
        <v>2015</v>
      </c>
      <c r="C332">
        <v>5.98</v>
      </c>
      <c r="D332" t="s">
        <v>20</v>
      </c>
      <c r="E332">
        <v>11103.35</v>
      </c>
    </row>
    <row r="333" spans="1:5" hidden="1" x14ac:dyDescent="0.35">
      <c r="A333" t="s">
        <v>74</v>
      </c>
      <c r="B333">
        <v>2016</v>
      </c>
      <c r="C333">
        <v>5.64</v>
      </c>
      <c r="D333" t="s">
        <v>20</v>
      </c>
      <c r="E333">
        <v>10955.02</v>
      </c>
    </row>
    <row r="334" spans="1:5" hidden="1" x14ac:dyDescent="0.35">
      <c r="A334" t="s">
        <v>74</v>
      </c>
      <c r="B334">
        <v>2017</v>
      </c>
      <c r="C334">
        <v>5.36</v>
      </c>
      <c r="D334" t="s">
        <v>20</v>
      </c>
      <c r="E334">
        <v>11189.72</v>
      </c>
    </row>
    <row r="335" spans="1:5" hidden="1" x14ac:dyDescent="0.35">
      <c r="A335" t="s">
        <v>74</v>
      </c>
      <c r="B335">
        <v>2018</v>
      </c>
      <c r="C335">
        <v>6.73</v>
      </c>
      <c r="D335" t="s">
        <v>20</v>
      </c>
      <c r="E335">
        <v>11662.12</v>
      </c>
    </row>
    <row r="336" spans="1:5" hidden="1" x14ac:dyDescent="0.35">
      <c r="A336" t="s">
        <v>74</v>
      </c>
      <c r="B336">
        <v>2019</v>
      </c>
      <c r="C336">
        <v>0.55000000000000004</v>
      </c>
      <c r="D336" t="s">
        <v>20</v>
      </c>
      <c r="E336">
        <v>11915.69</v>
      </c>
    </row>
    <row r="337" spans="1:5" hidden="1" x14ac:dyDescent="0.35">
      <c r="A337" t="s">
        <v>74</v>
      </c>
      <c r="B337">
        <v>2020</v>
      </c>
      <c r="C337">
        <v>2.38</v>
      </c>
      <c r="D337" t="s">
        <v>20</v>
      </c>
      <c r="E337">
        <v>12084.55</v>
      </c>
    </row>
    <row r="338" spans="1:5" hidden="1" x14ac:dyDescent="0.35">
      <c r="A338" t="s">
        <v>74</v>
      </c>
      <c r="B338">
        <v>2021</v>
      </c>
      <c r="C338">
        <v>1.1200000000000001</v>
      </c>
      <c r="D338" t="s">
        <v>20</v>
      </c>
      <c r="E338">
        <v>12665.78</v>
      </c>
    </row>
    <row r="339" spans="1:5" hidden="1" x14ac:dyDescent="0.35">
      <c r="A339" t="s">
        <v>74</v>
      </c>
      <c r="B339">
        <v>2022</v>
      </c>
      <c r="C339">
        <v>0.64</v>
      </c>
      <c r="D339" t="s">
        <v>20</v>
      </c>
      <c r="E339">
        <v>12651.27</v>
      </c>
    </row>
    <row r="340" spans="1:5" hidden="1" x14ac:dyDescent="0.35">
      <c r="A340" t="s">
        <v>74</v>
      </c>
      <c r="B340">
        <v>2023</v>
      </c>
      <c r="C340">
        <v>8.77</v>
      </c>
      <c r="D340" t="s">
        <v>20</v>
      </c>
      <c r="E340">
        <v>13152.05</v>
      </c>
    </row>
    <row r="341" spans="1:5" hidden="1" x14ac:dyDescent="0.35">
      <c r="A341" t="s">
        <v>75</v>
      </c>
      <c r="B341">
        <v>2019</v>
      </c>
      <c r="C341">
        <v>3.69</v>
      </c>
      <c r="D341" t="s">
        <v>18</v>
      </c>
      <c r="E341">
        <v>60.5</v>
      </c>
    </row>
    <row r="342" spans="1:5" hidden="1" x14ac:dyDescent="0.35">
      <c r="A342" t="s">
        <v>75</v>
      </c>
      <c r="B342">
        <v>2020</v>
      </c>
      <c r="C342">
        <v>3.51</v>
      </c>
      <c r="D342" t="s">
        <v>18</v>
      </c>
      <c r="E342">
        <v>59.68</v>
      </c>
    </row>
    <row r="343" spans="1:5" hidden="1" x14ac:dyDescent="0.35">
      <c r="A343" t="s">
        <v>75</v>
      </c>
      <c r="B343">
        <v>2021</v>
      </c>
      <c r="C343">
        <v>3.71</v>
      </c>
      <c r="D343" t="s">
        <v>18</v>
      </c>
      <c r="E343">
        <v>62.44</v>
      </c>
    </row>
    <row r="344" spans="1:5" hidden="1" x14ac:dyDescent="0.35">
      <c r="A344" t="s">
        <v>75</v>
      </c>
      <c r="B344">
        <v>2022</v>
      </c>
      <c r="C344">
        <v>3.69</v>
      </c>
      <c r="D344" t="s">
        <v>18</v>
      </c>
      <c r="E344">
        <v>63.5</v>
      </c>
    </row>
    <row r="345" spans="1:5" x14ac:dyDescent="0.35">
      <c r="A345" t="s">
        <v>75</v>
      </c>
      <c r="B345">
        <v>2023</v>
      </c>
      <c r="C345">
        <v>3.77</v>
      </c>
      <c r="D345" t="s">
        <v>18</v>
      </c>
      <c r="E345">
        <v>64.05</v>
      </c>
    </row>
    <row r="346" spans="1:5" hidden="1" x14ac:dyDescent="0.35">
      <c r="A346" t="s">
        <v>76</v>
      </c>
      <c r="B346">
        <v>2015</v>
      </c>
      <c r="C346">
        <v>18.579999999999998</v>
      </c>
      <c r="D346" t="s">
        <v>18</v>
      </c>
      <c r="E346">
        <v>19.61</v>
      </c>
    </row>
    <row r="347" spans="1:5" hidden="1" x14ac:dyDescent="0.35">
      <c r="A347" t="s">
        <v>76</v>
      </c>
      <c r="B347">
        <v>2016</v>
      </c>
      <c r="C347">
        <v>19.309999999999999</v>
      </c>
      <c r="D347" t="s">
        <v>18</v>
      </c>
      <c r="E347">
        <v>18.53</v>
      </c>
    </row>
    <row r="348" spans="1:5" hidden="1" x14ac:dyDescent="0.35">
      <c r="A348" t="s">
        <v>76</v>
      </c>
      <c r="B348">
        <v>2017</v>
      </c>
      <c r="C348">
        <v>18.5</v>
      </c>
      <c r="D348" t="s">
        <v>18</v>
      </c>
      <c r="E348">
        <v>18.690000000000001</v>
      </c>
    </row>
    <row r="349" spans="1:5" hidden="1" x14ac:dyDescent="0.35">
      <c r="A349" t="s">
        <v>76</v>
      </c>
      <c r="B349">
        <v>2018</v>
      </c>
      <c r="C349">
        <v>21.45</v>
      </c>
      <c r="D349" t="s">
        <v>18</v>
      </c>
      <c r="E349">
        <v>18.53</v>
      </c>
    </row>
    <row r="350" spans="1:5" hidden="1" x14ac:dyDescent="0.35">
      <c r="A350" t="s">
        <v>76</v>
      </c>
      <c r="B350">
        <v>2019</v>
      </c>
      <c r="C350">
        <v>19.440000000000001</v>
      </c>
      <c r="D350" t="s">
        <v>18</v>
      </c>
      <c r="E350">
        <v>18.02</v>
      </c>
    </row>
    <row r="351" spans="1:5" hidden="1" x14ac:dyDescent="0.35">
      <c r="A351" t="s">
        <v>76</v>
      </c>
      <c r="B351">
        <v>2020</v>
      </c>
      <c r="C351">
        <v>18.920000000000002</v>
      </c>
      <c r="D351" t="s">
        <v>18</v>
      </c>
      <c r="E351">
        <v>16.88</v>
      </c>
    </row>
    <row r="352" spans="1:5" hidden="1" x14ac:dyDescent="0.35">
      <c r="A352" t="s">
        <v>76</v>
      </c>
      <c r="B352">
        <v>2021</v>
      </c>
      <c r="C352">
        <v>20.32</v>
      </c>
      <c r="D352" t="s">
        <v>18</v>
      </c>
      <c r="E352">
        <v>15.25</v>
      </c>
    </row>
    <row r="353" spans="1:5" hidden="1" x14ac:dyDescent="0.35">
      <c r="A353" t="s">
        <v>76</v>
      </c>
      <c r="B353">
        <v>2022</v>
      </c>
      <c r="C353">
        <v>19.12</v>
      </c>
      <c r="D353" t="s">
        <v>18</v>
      </c>
      <c r="E353">
        <v>14.88</v>
      </c>
    </row>
    <row r="354" spans="1:5" hidden="1" x14ac:dyDescent="0.35">
      <c r="A354" t="s">
        <v>77</v>
      </c>
      <c r="B354">
        <v>2020</v>
      </c>
      <c r="C354">
        <v>7.06</v>
      </c>
      <c r="D354" t="s">
        <v>18</v>
      </c>
      <c r="E354">
        <v>558.26</v>
      </c>
    </row>
    <row r="355" spans="1:5" hidden="1" x14ac:dyDescent="0.35">
      <c r="A355" t="s">
        <v>77</v>
      </c>
      <c r="B355">
        <v>2021</v>
      </c>
      <c r="C355">
        <v>9.15</v>
      </c>
      <c r="D355" t="s">
        <v>18</v>
      </c>
      <c r="E355">
        <v>428.78</v>
      </c>
    </row>
    <row r="356" spans="1:5" hidden="1" x14ac:dyDescent="0.35">
      <c r="A356" t="s">
        <v>77</v>
      </c>
      <c r="B356">
        <v>2022</v>
      </c>
      <c r="C356">
        <v>9.84</v>
      </c>
      <c r="D356" t="s">
        <v>18</v>
      </c>
      <c r="E356">
        <v>386.19</v>
      </c>
    </row>
    <row r="357" spans="1:5" x14ac:dyDescent="0.35">
      <c r="A357" t="s">
        <v>77</v>
      </c>
      <c r="B357">
        <v>2023</v>
      </c>
      <c r="C357">
        <v>8.93</v>
      </c>
      <c r="D357" t="s">
        <v>18</v>
      </c>
      <c r="E357">
        <v>382.98</v>
      </c>
    </row>
    <row r="358" spans="1:5" hidden="1" x14ac:dyDescent="0.35">
      <c r="A358" t="s">
        <v>78</v>
      </c>
      <c r="B358">
        <v>2015</v>
      </c>
      <c r="C358">
        <v>21.51</v>
      </c>
      <c r="D358" t="s">
        <v>18</v>
      </c>
      <c r="E358">
        <v>319.92</v>
      </c>
    </row>
    <row r="359" spans="1:5" hidden="1" x14ac:dyDescent="0.35">
      <c r="A359" t="s">
        <v>78</v>
      </c>
      <c r="B359">
        <v>2018</v>
      </c>
      <c r="C359">
        <v>24.8</v>
      </c>
      <c r="D359" t="s">
        <v>18</v>
      </c>
      <c r="E359">
        <v>311.01</v>
      </c>
    </row>
    <row r="360" spans="1:5" hidden="1" x14ac:dyDescent="0.35">
      <c r="A360" t="s">
        <v>78</v>
      </c>
      <c r="B360">
        <v>2019</v>
      </c>
      <c r="C360">
        <v>16.850000000000001</v>
      </c>
      <c r="D360" t="s">
        <v>18</v>
      </c>
      <c r="E360">
        <v>293.48</v>
      </c>
    </row>
    <row r="361" spans="1:5" hidden="1" x14ac:dyDescent="0.35">
      <c r="A361" t="s">
        <v>78</v>
      </c>
      <c r="B361">
        <v>2020</v>
      </c>
      <c r="C361">
        <v>16.399999999999999</v>
      </c>
      <c r="D361" t="s">
        <v>18</v>
      </c>
      <c r="E361">
        <v>255.34</v>
      </c>
    </row>
    <row r="362" spans="1:5" hidden="1" x14ac:dyDescent="0.35">
      <c r="A362" t="s">
        <v>78</v>
      </c>
      <c r="B362">
        <v>2021</v>
      </c>
      <c r="C362">
        <v>17.62</v>
      </c>
      <c r="D362" t="s">
        <v>18</v>
      </c>
      <c r="E362">
        <v>286.49</v>
      </c>
    </row>
    <row r="363" spans="1:5" hidden="1" x14ac:dyDescent="0.35">
      <c r="A363" t="s">
        <v>78</v>
      </c>
      <c r="B363">
        <v>2022</v>
      </c>
      <c r="C363">
        <v>16.579999999999998</v>
      </c>
      <c r="D363" t="s">
        <v>18</v>
      </c>
      <c r="E363">
        <v>289.8</v>
      </c>
    </row>
    <row r="364" spans="1:5" x14ac:dyDescent="0.35">
      <c r="A364" t="s">
        <v>78</v>
      </c>
      <c r="B364">
        <v>2023</v>
      </c>
      <c r="C364">
        <v>16.309999999999999</v>
      </c>
      <c r="D364" t="s">
        <v>18</v>
      </c>
      <c r="E364">
        <v>271.61</v>
      </c>
    </row>
    <row r="365" spans="1:5" x14ac:dyDescent="0.35">
      <c r="A365" t="s">
        <v>79</v>
      </c>
      <c r="B365">
        <v>2023</v>
      </c>
      <c r="C365">
        <v>2.38</v>
      </c>
      <c r="D365" t="s">
        <v>18</v>
      </c>
      <c r="E365">
        <v>731.02</v>
      </c>
    </row>
    <row r="366" spans="1:5" hidden="1" x14ac:dyDescent="0.35">
      <c r="A366" t="s">
        <v>81</v>
      </c>
      <c r="B366">
        <v>2015</v>
      </c>
      <c r="C366">
        <v>61.95</v>
      </c>
      <c r="D366" t="s">
        <v>18</v>
      </c>
      <c r="E366">
        <v>48.5</v>
      </c>
    </row>
    <row r="367" spans="1:5" hidden="1" x14ac:dyDescent="0.35">
      <c r="A367" t="s">
        <v>81</v>
      </c>
      <c r="B367">
        <v>2015</v>
      </c>
      <c r="C367">
        <v>12.39</v>
      </c>
      <c r="D367" t="s">
        <v>20</v>
      </c>
      <c r="E367">
        <v>48.5</v>
      </c>
    </row>
    <row r="368" spans="1:5" hidden="1" x14ac:dyDescent="0.35">
      <c r="A368" t="s">
        <v>81</v>
      </c>
      <c r="B368">
        <v>2016</v>
      </c>
      <c r="C368">
        <v>86.18</v>
      </c>
      <c r="D368" t="s">
        <v>18</v>
      </c>
      <c r="E368">
        <v>50.38</v>
      </c>
    </row>
    <row r="369" spans="1:5" hidden="1" x14ac:dyDescent="0.35">
      <c r="A369" t="s">
        <v>81</v>
      </c>
      <c r="B369">
        <v>2016</v>
      </c>
      <c r="C369">
        <v>9.23</v>
      </c>
      <c r="D369" t="s">
        <v>20</v>
      </c>
      <c r="E369">
        <v>50.38</v>
      </c>
    </row>
    <row r="370" spans="1:5" hidden="1" x14ac:dyDescent="0.35">
      <c r="A370" t="s">
        <v>81</v>
      </c>
      <c r="B370">
        <v>2017</v>
      </c>
      <c r="C370">
        <v>83.92</v>
      </c>
      <c r="D370" t="s">
        <v>18</v>
      </c>
      <c r="E370">
        <v>49.47</v>
      </c>
    </row>
    <row r="371" spans="1:5" hidden="1" x14ac:dyDescent="0.35">
      <c r="A371" t="s">
        <v>81</v>
      </c>
      <c r="B371">
        <v>2017</v>
      </c>
      <c r="C371">
        <v>6.95</v>
      </c>
      <c r="D371" t="s">
        <v>20</v>
      </c>
      <c r="E371">
        <v>49.47</v>
      </c>
    </row>
    <row r="372" spans="1:5" hidden="1" x14ac:dyDescent="0.35">
      <c r="A372" t="s">
        <v>81</v>
      </c>
      <c r="B372">
        <v>2018</v>
      </c>
      <c r="C372">
        <v>100.9</v>
      </c>
      <c r="D372" t="s">
        <v>18</v>
      </c>
      <c r="E372">
        <v>48.13</v>
      </c>
    </row>
    <row r="373" spans="1:5" hidden="1" x14ac:dyDescent="0.35">
      <c r="A373" t="s">
        <v>81</v>
      </c>
      <c r="B373">
        <v>2018</v>
      </c>
      <c r="C373">
        <v>9.3000000000000007</v>
      </c>
      <c r="D373" t="s">
        <v>20</v>
      </c>
      <c r="E373">
        <v>48.13</v>
      </c>
    </row>
    <row r="374" spans="1:5" hidden="1" x14ac:dyDescent="0.35">
      <c r="A374" t="s">
        <v>81</v>
      </c>
      <c r="B374">
        <v>2019</v>
      </c>
      <c r="C374">
        <v>96.46</v>
      </c>
      <c r="D374" t="s">
        <v>18</v>
      </c>
      <c r="E374">
        <v>47.86</v>
      </c>
    </row>
    <row r="375" spans="1:5" hidden="1" x14ac:dyDescent="0.35">
      <c r="A375" t="s">
        <v>81</v>
      </c>
      <c r="B375">
        <v>2019</v>
      </c>
      <c r="C375">
        <v>8.0299999999999994</v>
      </c>
      <c r="D375" t="s">
        <v>20</v>
      </c>
      <c r="E375">
        <v>47.86</v>
      </c>
    </row>
    <row r="376" spans="1:5" hidden="1" x14ac:dyDescent="0.35">
      <c r="A376" t="s">
        <v>81</v>
      </c>
      <c r="B376">
        <v>2020</v>
      </c>
      <c r="C376">
        <v>99.44</v>
      </c>
      <c r="D376" t="s">
        <v>18</v>
      </c>
      <c r="E376">
        <v>45.37</v>
      </c>
    </row>
    <row r="377" spans="1:5" hidden="1" x14ac:dyDescent="0.35">
      <c r="A377" t="s">
        <v>81</v>
      </c>
      <c r="B377">
        <v>2020</v>
      </c>
      <c r="C377">
        <v>19.850000000000001</v>
      </c>
      <c r="D377" t="s">
        <v>20</v>
      </c>
      <c r="E377">
        <v>45.37</v>
      </c>
    </row>
    <row r="378" spans="1:5" hidden="1" x14ac:dyDescent="0.35">
      <c r="A378" t="s">
        <v>81</v>
      </c>
      <c r="B378">
        <v>2021</v>
      </c>
      <c r="C378">
        <v>101.47</v>
      </c>
      <c r="D378" t="s">
        <v>18</v>
      </c>
      <c r="E378">
        <v>47</v>
      </c>
    </row>
    <row r="379" spans="1:5" hidden="1" x14ac:dyDescent="0.35">
      <c r="A379" t="s">
        <v>81</v>
      </c>
      <c r="B379">
        <v>2021</v>
      </c>
      <c r="C379">
        <v>46.1</v>
      </c>
      <c r="D379" t="s">
        <v>20</v>
      </c>
      <c r="E379">
        <v>47</v>
      </c>
    </row>
    <row r="380" spans="1:5" hidden="1" x14ac:dyDescent="0.35">
      <c r="A380" t="s">
        <v>81</v>
      </c>
      <c r="B380">
        <v>2022</v>
      </c>
      <c r="C380">
        <v>129.86000000000001</v>
      </c>
      <c r="D380" t="s">
        <v>18</v>
      </c>
      <c r="E380">
        <v>43.85</v>
      </c>
    </row>
    <row r="381" spans="1:5" hidden="1" x14ac:dyDescent="0.35">
      <c r="A381" t="s">
        <v>81</v>
      </c>
      <c r="B381">
        <v>2022</v>
      </c>
      <c r="C381">
        <v>65.59</v>
      </c>
      <c r="D381" t="s">
        <v>20</v>
      </c>
      <c r="E381">
        <v>43.85</v>
      </c>
    </row>
    <row r="382" spans="1:5" x14ac:dyDescent="0.35">
      <c r="A382" t="s">
        <v>81</v>
      </c>
      <c r="B382">
        <v>2023</v>
      </c>
      <c r="C382">
        <v>130.81</v>
      </c>
      <c r="D382" t="s">
        <v>18</v>
      </c>
      <c r="E382">
        <v>43.15</v>
      </c>
    </row>
    <row r="383" spans="1:5" hidden="1" x14ac:dyDescent="0.35">
      <c r="A383" t="s">
        <v>81</v>
      </c>
      <c r="B383">
        <v>2023</v>
      </c>
      <c r="C383">
        <v>93.81</v>
      </c>
      <c r="D383" t="s">
        <v>20</v>
      </c>
      <c r="E383">
        <v>43.15</v>
      </c>
    </row>
    <row r="384" spans="1:5" hidden="1" x14ac:dyDescent="0.35">
      <c r="A384" t="s">
        <v>83</v>
      </c>
      <c r="B384">
        <v>2022</v>
      </c>
      <c r="C384">
        <v>14.55</v>
      </c>
      <c r="D384" t="s">
        <v>18</v>
      </c>
      <c r="E384">
        <v>708.03</v>
      </c>
    </row>
    <row r="385" spans="1:5" x14ac:dyDescent="0.35">
      <c r="A385" t="s">
        <v>83</v>
      </c>
      <c r="B385">
        <v>2023</v>
      </c>
      <c r="C385">
        <v>17.25</v>
      </c>
      <c r="D385" t="s">
        <v>18</v>
      </c>
      <c r="E385">
        <v>731.02</v>
      </c>
    </row>
    <row r="386" spans="1:5" hidden="1" x14ac:dyDescent="0.35">
      <c r="A386" t="s">
        <v>84</v>
      </c>
      <c r="B386">
        <v>2015</v>
      </c>
      <c r="C386">
        <v>4.2</v>
      </c>
      <c r="D386" t="s">
        <v>20</v>
      </c>
      <c r="E386">
        <v>11103.35</v>
      </c>
    </row>
    <row r="387" spans="1:5" hidden="1" x14ac:dyDescent="0.35">
      <c r="A387" t="s">
        <v>84</v>
      </c>
      <c r="B387">
        <v>2016</v>
      </c>
      <c r="C387">
        <v>2.19</v>
      </c>
      <c r="D387" t="s">
        <v>20</v>
      </c>
      <c r="E387">
        <v>10955.02</v>
      </c>
    </row>
    <row r="388" spans="1:5" hidden="1" x14ac:dyDescent="0.35">
      <c r="A388" t="s">
        <v>84</v>
      </c>
      <c r="B388">
        <v>2017</v>
      </c>
      <c r="C388">
        <v>1.23</v>
      </c>
      <c r="D388" t="s">
        <v>20</v>
      </c>
      <c r="E388">
        <v>11189.72</v>
      </c>
    </row>
    <row r="389" spans="1:5" hidden="1" x14ac:dyDescent="0.35">
      <c r="A389" t="s">
        <v>84</v>
      </c>
      <c r="B389">
        <v>2018</v>
      </c>
      <c r="C389">
        <v>1.35</v>
      </c>
      <c r="D389" t="s">
        <v>20</v>
      </c>
      <c r="E389">
        <v>11662.12</v>
      </c>
    </row>
    <row r="390" spans="1:5" hidden="1" x14ac:dyDescent="0.35">
      <c r="A390" t="s">
        <v>84</v>
      </c>
      <c r="B390">
        <v>2019</v>
      </c>
      <c r="C390">
        <v>2.08</v>
      </c>
      <c r="D390" t="s">
        <v>20</v>
      </c>
      <c r="E390">
        <v>11915.69</v>
      </c>
    </row>
    <row r="391" spans="1:5" hidden="1" x14ac:dyDescent="0.35">
      <c r="A391" t="s">
        <v>84</v>
      </c>
      <c r="B391">
        <v>2020</v>
      </c>
      <c r="C391">
        <v>2.82</v>
      </c>
      <c r="D391" t="s">
        <v>20</v>
      </c>
      <c r="E391">
        <v>12084.55</v>
      </c>
    </row>
    <row r="392" spans="1:5" hidden="1" x14ac:dyDescent="0.35">
      <c r="A392" t="s">
        <v>84</v>
      </c>
      <c r="B392">
        <v>2021</v>
      </c>
      <c r="C392">
        <v>3.8</v>
      </c>
      <c r="D392" t="s">
        <v>20</v>
      </c>
      <c r="E392">
        <v>12665.78</v>
      </c>
    </row>
    <row r="393" spans="1:5" hidden="1" x14ac:dyDescent="0.35">
      <c r="A393" t="s">
        <v>84</v>
      </c>
      <c r="B393">
        <v>2022</v>
      </c>
      <c r="C393">
        <v>4.4000000000000004</v>
      </c>
      <c r="D393" t="s">
        <v>20</v>
      </c>
      <c r="E393">
        <v>12651.27</v>
      </c>
    </row>
    <row r="394" spans="1:5" hidden="1" x14ac:dyDescent="0.35">
      <c r="A394" t="s">
        <v>84</v>
      </c>
      <c r="B394">
        <v>2023</v>
      </c>
      <c r="C394">
        <v>4.5999999999999996</v>
      </c>
      <c r="D394" t="s">
        <v>20</v>
      </c>
      <c r="E394">
        <v>13152.05</v>
      </c>
    </row>
    <row r="395" spans="1:5" hidden="1" x14ac:dyDescent="0.35">
      <c r="A395" t="s">
        <v>85</v>
      </c>
      <c r="B395">
        <v>2015</v>
      </c>
      <c r="C395">
        <v>37.51</v>
      </c>
      <c r="D395" t="s">
        <v>20</v>
      </c>
      <c r="E395">
        <v>1192.92</v>
      </c>
    </row>
    <row r="396" spans="1:5" hidden="1" x14ac:dyDescent="0.35">
      <c r="A396" t="s">
        <v>85</v>
      </c>
      <c r="B396">
        <v>2016</v>
      </c>
      <c r="C396">
        <v>14.64</v>
      </c>
      <c r="D396" t="s">
        <v>20</v>
      </c>
      <c r="E396">
        <v>1194.45</v>
      </c>
    </row>
    <row r="397" spans="1:5" hidden="1" x14ac:dyDescent="0.35">
      <c r="A397" t="s">
        <v>85</v>
      </c>
      <c r="B397">
        <v>2017</v>
      </c>
      <c r="C397">
        <v>13.39</v>
      </c>
      <c r="D397" t="s">
        <v>20</v>
      </c>
      <c r="E397">
        <v>1182.19</v>
      </c>
    </row>
    <row r="398" spans="1:5" hidden="1" x14ac:dyDescent="0.35">
      <c r="A398" t="s">
        <v>85</v>
      </c>
      <c r="B398">
        <v>2018</v>
      </c>
      <c r="C398">
        <v>5.69</v>
      </c>
      <c r="D398" t="s">
        <v>20</v>
      </c>
      <c r="E398">
        <v>1143.5999999999999</v>
      </c>
    </row>
    <row r="399" spans="1:5" hidden="1" x14ac:dyDescent="0.35">
      <c r="A399" t="s">
        <v>85</v>
      </c>
      <c r="B399">
        <v>2019</v>
      </c>
      <c r="C399">
        <v>5.85</v>
      </c>
      <c r="D399" t="s">
        <v>20</v>
      </c>
      <c r="E399">
        <v>1108.04</v>
      </c>
    </row>
    <row r="400" spans="1:5" hidden="1" x14ac:dyDescent="0.35">
      <c r="A400" t="s">
        <v>85</v>
      </c>
      <c r="B400">
        <v>2020</v>
      </c>
      <c r="C400">
        <v>5.58</v>
      </c>
      <c r="D400" t="s">
        <v>20</v>
      </c>
      <c r="E400">
        <v>1051.6400000000001</v>
      </c>
    </row>
    <row r="401" spans="1:5" hidden="1" x14ac:dyDescent="0.35">
      <c r="A401" t="s">
        <v>85</v>
      </c>
      <c r="B401">
        <v>2021</v>
      </c>
      <c r="C401">
        <v>4.87</v>
      </c>
      <c r="D401" t="s">
        <v>20</v>
      </c>
      <c r="E401">
        <v>1103.6300000000001</v>
      </c>
    </row>
    <row r="402" spans="1:5" hidden="1" x14ac:dyDescent="0.35">
      <c r="A402" t="s">
        <v>85</v>
      </c>
      <c r="B402">
        <v>2022</v>
      </c>
      <c r="C402">
        <v>4.42</v>
      </c>
      <c r="D402" t="s">
        <v>20</v>
      </c>
      <c r="E402">
        <v>1078.93</v>
      </c>
    </row>
    <row r="403" spans="1:5" hidden="1" x14ac:dyDescent="0.35">
      <c r="A403" t="s">
        <v>85</v>
      </c>
      <c r="B403">
        <v>2023</v>
      </c>
      <c r="C403">
        <v>41.95</v>
      </c>
      <c r="D403" t="s">
        <v>20</v>
      </c>
      <c r="E403">
        <v>1034.23</v>
      </c>
    </row>
    <row r="404" spans="1:5" hidden="1" x14ac:dyDescent="0.35">
      <c r="A404" t="s">
        <v>86</v>
      </c>
      <c r="B404">
        <v>2015</v>
      </c>
      <c r="C404">
        <v>0.01</v>
      </c>
      <c r="D404" t="s">
        <v>18</v>
      </c>
      <c r="E404">
        <v>281.67</v>
      </c>
    </row>
    <row r="405" spans="1:5" hidden="1" x14ac:dyDescent="0.35">
      <c r="A405" t="s">
        <v>86</v>
      </c>
      <c r="B405">
        <v>2017</v>
      </c>
      <c r="C405">
        <v>0.01</v>
      </c>
      <c r="D405" t="s">
        <v>18</v>
      </c>
      <c r="E405">
        <v>251.91</v>
      </c>
    </row>
    <row r="406" spans="1:5" hidden="1" x14ac:dyDescent="0.35">
      <c r="A406" t="s">
        <v>86</v>
      </c>
      <c r="B406">
        <v>2018</v>
      </c>
      <c r="C406">
        <v>0.02</v>
      </c>
      <c r="D406" t="s">
        <v>18</v>
      </c>
      <c r="E406">
        <v>268.36</v>
      </c>
    </row>
    <row r="407" spans="1:5" hidden="1" x14ac:dyDescent="0.35">
      <c r="A407" t="s">
        <v>86</v>
      </c>
      <c r="B407">
        <v>2019</v>
      </c>
      <c r="C407">
        <v>0.37</v>
      </c>
      <c r="D407" t="s">
        <v>18</v>
      </c>
      <c r="E407">
        <v>257.89</v>
      </c>
    </row>
    <row r="408" spans="1:5" hidden="1" x14ac:dyDescent="0.35">
      <c r="A408" t="s">
        <v>86</v>
      </c>
      <c r="B408">
        <v>2020</v>
      </c>
      <c r="C408">
        <v>0.38</v>
      </c>
      <c r="D408" t="s">
        <v>18</v>
      </c>
      <c r="E408">
        <v>246.25</v>
      </c>
    </row>
    <row r="409" spans="1:5" hidden="1" x14ac:dyDescent="0.35">
      <c r="A409" t="s">
        <v>86</v>
      </c>
      <c r="B409">
        <v>2021</v>
      </c>
      <c r="C409">
        <v>0.36</v>
      </c>
      <c r="D409" t="s">
        <v>18</v>
      </c>
      <c r="E409">
        <v>260.23</v>
      </c>
    </row>
    <row r="410" spans="1:5" hidden="1" x14ac:dyDescent="0.35">
      <c r="A410" t="s">
        <v>86</v>
      </c>
      <c r="B410">
        <v>2022</v>
      </c>
      <c r="C410">
        <v>1.03</v>
      </c>
      <c r="D410" t="s">
        <v>18</v>
      </c>
      <c r="E410">
        <v>181.31</v>
      </c>
    </row>
    <row r="411" spans="1:5" x14ac:dyDescent="0.35">
      <c r="A411" t="s">
        <v>86</v>
      </c>
      <c r="B411">
        <v>2023</v>
      </c>
      <c r="C411">
        <v>0.82</v>
      </c>
      <c r="D411" t="s">
        <v>18</v>
      </c>
      <c r="E411">
        <v>179.25</v>
      </c>
    </row>
    <row r="412" spans="1:5" hidden="1" x14ac:dyDescent="0.35">
      <c r="A412" t="s">
        <v>87</v>
      </c>
      <c r="B412">
        <v>2015</v>
      </c>
      <c r="C412">
        <v>26.71</v>
      </c>
      <c r="D412" t="s">
        <v>18</v>
      </c>
      <c r="E412">
        <v>512.42999999999995</v>
      </c>
    </row>
    <row r="413" spans="1:5" hidden="1" x14ac:dyDescent="0.35">
      <c r="A413" t="s">
        <v>87</v>
      </c>
      <c r="B413">
        <v>2016</v>
      </c>
      <c r="C413">
        <v>23.72</v>
      </c>
      <c r="D413" t="s">
        <v>18</v>
      </c>
      <c r="E413">
        <v>499.14</v>
      </c>
    </row>
    <row r="414" spans="1:5" hidden="1" x14ac:dyDescent="0.35">
      <c r="A414" t="s">
        <v>87</v>
      </c>
      <c r="B414">
        <v>2017</v>
      </c>
      <c r="C414">
        <v>22.41</v>
      </c>
      <c r="D414" t="s">
        <v>18</v>
      </c>
      <c r="E414">
        <v>488.5</v>
      </c>
    </row>
    <row r="415" spans="1:5" hidden="1" x14ac:dyDescent="0.35">
      <c r="A415" t="s">
        <v>87</v>
      </c>
      <c r="B415">
        <v>2018</v>
      </c>
      <c r="C415">
        <v>25.46</v>
      </c>
      <c r="D415" t="s">
        <v>18</v>
      </c>
      <c r="E415">
        <v>480.94</v>
      </c>
    </row>
    <row r="416" spans="1:5" hidden="1" x14ac:dyDescent="0.35">
      <c r="A416" t="s">
        <v>87</v>
      </c>
      <c r="B416">
        <v>2019</v>
      </c>
      <c r="C416">
        <v>23.59</v>
      </c>
      <c r="D416" t="s">
        <v>18</v>
      </c>
      <c r="E416">
        <v>466.07</v>
      </c>
    </row>
    <row r="417" spans="1:5" hidden="1" x14ac:dyDescent="0.35">
      <c r="A417" t="s">
        <v>87</v>
      </c>
      <c r="B417">
        <v>2020</v>
      </c>
      <c r="C417">
        <v>22.28</v>
      </c>
      <c r="D417" t="s">
        <v>18</v>
      </c>
      <c r="E417">
        <v>422.74</v>
      </c>
    </row>
    <row r="418" spans="1:5" hidden="1" x14ac:dyDescent="0.35">
      <c r="A418" t="s">
        <v>87</v>
      </c>
      <c r="B418">
        <v>2021</v>
      </c>
      <c r="C418">
        <v>24.8</v>
      </c>
      <c r="D418" t="s">
        <v>18</v>
      </c>
      <c r="E418">
        <v>443.43</v>
      </c>
    </row>
    <row r="419" spans="1:5" hidden="1" x14ac:dyDescent="0.35">
      <c r="A419" t="s">
        <v>87</v>
      </c>
      <c r="B419">
        <v>2022</v>
      </c>
      <c r="C419">
        <v>23.65</v>
      </c>
      <c r="D419" t="s">
        <v>18</v>
      </c>
      <c r="E419">
        <v>427.17</v>
      </c>
    </row>
    <row r="420" spans="1:5" hidden="1" x14ac:dyDescent="0.35">
      <c r="A420" t="s">
        <v>87</v>
      </c>
      <c r="B420">
        <v>2022</v>
      </c>
      <c r="C420">
        <v>98.99</v>
      </c>
      <c r="D420" t="s">
        <v>20</v>
      </c>
      <c r="E420">
        <v>427.17</v>
      </c>
    </row>
    <row r="421" spans="1:5" x14ac:dyDescent="0.35">
      <c r="A421" t="s">
        <v>87</v>
      </c>
      <c r="B421">
        <v>2023</v>
      </c>
      <c r="C421">
        <v>22.28</v>
      </c>
      <c r="D421" t="s">
        <v>18</v>
      </c>
      <c r="E421">
        <v>407.91</v>
      </c>
    </row>
    <row r="422" spans="1:5" hidden="1" x14ac:dyDescent="0.35">
      <c r="A422" t="s">
        <v>87</v>
      </c>
      <c r="B422">
        <v>2023</v>
      </c>
      <c r="C422">
        <v>88.13</v>
      </c>
      <c r="D422" t="s">
        <v>20</v>
      </c>
      <c r="E422">
        <v>407.91</v>
      </c>
    </row>
    <row r="423" spans="1:5" hidden="1" x14ac:dyDescent="0.35">
      <c r="A423" t="s">
        <v>88</v>
      </c>
      <c r="B423">
        <v>2022</v>
      </c>
      <c r="C423">
        <v>137.30000000000001</v>
      </c>
      <c r="D423" t="s">
        <v>18</v>
      </c>
      <c r="E423">
        <v>35.24</v>
      </c>
    </row>
    <row r="424" spans="1:5" x14ac:dyDescent="0.35">
      <c r="A424" t="s">
        <v>88</v>
      </c>
      <c r="B424">
        <v>2023</v>
      </c>
      <c r="C424">
        <v>155.87</v>
      </c>
      <c r="D424" t="s">
        <v>18</v>
      </c>
      <c r="E424">
        <v>35.49</v>
      </c>
    </row>
    <row r="425" spans="1:5" hidden="1" x14ac:dyDescent="0.35">
      <c r="A425" t="s">
        <v>89</v>
      </c>
      <c r="B425">
        <v>2023</v>
      </c>
      <c r="C425">
        <v>22.2</v>
      </c>
      <c r="D425" t="s">
        <v>20</v>
      </c>
      <c r="E425">
        <v>5434.18</v>
      </c>
    </row>
    <row r="426" spans="1:5" x14ac:dyDescent="0.35">
      <c r="A426" t="s">
        <v>90</v>
      </c>
      <c r="B426">
        <v>2023</v>
      </c>
      <c r="C426">
        <v>15.53</v>
      </c>
      <c r="D426" t="s">
        <v>18</v>
      </c>
      <c r="E426">
        <v>731.02</v>
      </c>
    </row>
    <row r="427" spans="1:5" hidden="1" x14ac:dyDescent="0.35">
      <c r="A427" t="s">
        <v>91</v>
      </c>
      <c r="B427">
        <v>2017</v>
      </c>
      <c r="C427">
        <v>12.6</v>
      </c>
      <c r="D427" t="s">
        <v>18</v>
      </c>
      <c r="E427">
        <v>720.16</v>
      </c>
    </row>
    <row r="428" spans="1:5" hidden="1" x14ac:dyDescent="0.35">
      <c r="A428" t="s">
        <v>91</v>
      </c>
      <c r="B428">
        <v>2018</v>
      </c>
      <c r="C428">
        <v>13.68</v>
      </c>
      <c r="D428" t="s">
        <v>18</v>
      </c>
      <c r="E428">
        <v>703.37</v>
      </c>
    </row>
    <row r="429" spans="1:5" hidden="1" x14ac:dyDescent="0.35">
      <c r="A429" t="s">
        <v>91</v>
      </c>
      <c r="B429">
        <v>2019</v>
      </c>
      <c r="C429">
        <v>13.01</v>
      </c>
      <c r="D429" t="s">
        <v>18</v>
      </c>
      <c r="E429">
        <v>717.6</v>
      </c>
    </row>
    <row r="430" spans="1:5" hidden="1" x14ac:dyDescent="0.35">
      <c r="A430" t="s">
        <v>91</v>
      </c>
      <c r="B430">
        <v>2020</v>
      </c>
      <c r="C430">
        <v>11.8</v>
      </c>
      <c r="D430" t="s">
        <v>18</v>
      </c>
      <c r="E430">
        <v>664.85</v>
      </c>
    </row>
    <row r="431" spans="1:5" hidden="1" x14ac:dyDescent="0.35">
      <c r="A431" t="s">
        <v>91</v>
      </c>
      <c r="B431">
        <v>2021</v>
      </c>
      <c r="C431">
        <v>12.23</v>
      </c>
      <c r="D431" t="s">
        <v>18</v>
      </c>
      <c r="E431">
        <v>676.79</v>
      </c>
    </row>
    <row r="432" spans="1:5" hidden="1" x14ac:dyDescent="0.35">
      <c r="A432" t="s">
        <v>91</v>
      </c>
      <c r="B432">
        <v>2022</v>
      </c>
      <c r="C432">
        <v>12.6</v>
      </c>
      <c r="D432" t="s">
        <v>18</v>
      </c>
      <c r="E432">
        <v>708.03</v>
      </c>
    </row>
    <row r="433" spans="1:5" x14ac:dyDescent="0.35">
      <c r="A433" t="s">
        <v>91</v>
      </c>
      <c r="B433">
        <v>2023</v>
      </c>
      <c r="C433">
        <v>13.86</v>
      </c>
      <c r="D433" t="s">
        <v>18</v>
      </c>
      <c r="E433">
        <v>731.02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Data_Pricing</vt:lpstr>
      <vt:lpstr>Data_Emissions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Gmuer, Josef</cp:lastModifiedBy>
  <dcterms:created xsi:type="dcterms:W3CDTF">2026-02-10T20:12:52Z</dcterms:created>
  <dcterms:modified xsi:type="dcterms:W3CDTF">2026-02-11T10:05:20Z</dcterms:modified>
</cp:coreProperties>
</file>